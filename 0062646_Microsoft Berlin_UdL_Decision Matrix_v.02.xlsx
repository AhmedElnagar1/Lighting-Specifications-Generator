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burohappold.sharepoint.com/sites/062646/Shared Documents/Lighting/++LED Lamp Replacement++/05_Presentations/"/>
    </mc:Choice>
  </mc:AlternateContent>
  <xr:revisionPtr revIDLastSave="4124" documentId="8_{7CA1CAE8-1D11-4C93-9DB4-01D2961134D8}" xr6:coauthVersionLast="47" xr6:coauthVersionMax="47" xr10:uidLastSave="{8B5D5F86-76F1-4A73-AC14-F3307FEE9635}"/>
  <bookViews>
    <workbookView xWindow="28680" yWindow="-120" windowWidth="29040" windowHeight="15720" activeTab="3" xr2:uid="{1D3EF606-E6EE-4B07-BBE3-BBA1B392835C}"/>
  </bookViews>
  <sheets>
    <sheet name="Cover" sheetId="5" r:id="rId1"/>
    <sheet name="GenInfo+Contacts" sheetId="6" r:id="rId2"/>
    <sheet name="Contacts_Log" sheetId="7" r:id="rId3"/>
    <sheet name="Decision Matrix v.02" sheetId="4" r:id="rId4"/>
    <sheet name="Glossary" sheetId="3" r:id="rId5"/>
    <sheet name="DropDown" sheetId="2" r:id="rId6"/>
    <sheet name="Decision Matrix v.01 (original)" sheetId="1" r:id="rId7"/>
  </sheets>
  <externalReferences>
    <externalReference r:id="rId8"/>
  </externalReferences>
  <definedNames>
    <definedName name="list_ids">[1]Schedule!$A$11:$A$30</definedName>
    <definedName name="_xlnm.Print_Titles" localSheetId="6">'Decision Matrix v.01 (original)'!$14:$14</definedName>
    <definedName name="_xlnm.Print_Titles" localSheetId="3">'Decision Matrix v.02'!$10:$10</definedName>
    <definedName name="selection">[1]Template!$F$45</definedName>
    <definedName name="table_data">[1]Schedule!$A$11:$AA$30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61" i="4" l="1"/>
  <c r="AF61" i="4"/>
  <c r="AE61" i="4"/>
  <c r="AC61" i="4"/>
  <c r="A47" i="5"/>
  <c r="A44" i="5"/>
  <c r="A43" i="5"/>
  <c r="AC58" i="4"/>
  <c r="AE58" i="4" s="1"/>
  <c r="P18" i="7"/>
  <c r="P17" i="7"/>
  <c r="P16" i="7"/>
  <c r="P15" i="7"/>
  <c r="P14" i="7"/>
  <c r="P13" i="7"/>
  <c r="P12" i="7"/>
  <c r="P11" i="7"/>
  <c r="P10" i="7"/>
  <c r="P9" i="7"/>
  <c r="P8" i="7"/>
  <c r="P7" i="7"/>
  <c r="P6" i="7"/>
  <c r="P5" i="7"/>
  <c r="P4" i="7"/>
  <c r="P3" i="7"/>
  <c r="P2" i="7"/>
  <c r="A46" i="5"/>
  <c r="A45" i="5"/>
  <c r="AF58" i="4" l="1"/>
  <c r="Q7" i="4"/>
  <c r="Q3" i="4"/>
  <c r="AE54" i="4"/>
  <c r="AF54" i="4" s="1"/>
  <c r="AE50" i="4"/>
  <c r="AF50" i="4" s="1"/>
  <c r="AC49" i="4"/>
  <c r="AE49" i="4" s="1"/>
  <c r="AF49" i="4" s="1"/>
  <c r="AE46" i="4"/>
  <c r="AF46" i="4" s="1"/>
  <c r="AE42" i="4"/>
  <c r="AF42" i="4" s="1"/>
  <c r="AH42" i="4" s="1"/>
  <c r="AC41" i="4"/>
  <c r="AE41" i="4" s="1"/>
  <c r="AF41" i="4" s="1"/>
  <c r="AH41" i="4" s="1"/>
  <c r="AE38" i="4"/>
  <c r="AF38" i="4" s="1"/>
  <c r="AE34" i="4"/>
  <c r="AF34" i="4" s="1"/>
  <c r="AC33" i="4"/>
  <c r="AE33" i="4" s="1"/>
  <c r="AF33" i="4" s="1"/>
  <c r="AC25" i="4"/>
  <c r="AE25" i="4" s="1"/>
  <c r="AE22" i="4"/>
  <c r="AF22" i="4" s="1"/>
  <c r="AG202" i="4"/>
  <c r="AG201" i="4"/>
  <c r="AG198" i="4"/>
  <c r="AG197" i="4"/>
  <c r="AG194" i="4"/>
  <c r="AG193" i="4"/>
  <c r="AG190" i="4"/>
  <c r="AG189" i="4"/>
  <c r="AG186" i="4"/>
  <c r="AG185" i="4"/>
  <c r="AG182" i="4"/>
  <c r="AG181" i="4"/>
  <c r="AG178" i="4"/>
  <c r="AG177" i="4"/>
  <c r="AG174" i="4"/>
  <c r="AG173" i="4"/>
  <c r="AG170" i="4"/>
  <c r="AG169" i="4"/>
  <c r="AG166" i="4"/>
  <c r="AG165" i="4"/>
  <c r="AG162" i="4"/>
  <c r="AG161" i="4"/>
  <c r="AG158" i="4"/>
  <c r="AG157" i="4"/>
  <c r="AG154" i="4"/>
  <c r="AG153" i="4"/>
  <c r="AG150" i="4"/>
  <c r="AG149" i="4"/>
  <c r="AG146" i="4"/>
  <c r="AG145" i="4"/>
  <c r="AG142" i="4"/>
  <c r="AG141" i="4"/>
  <c r="AG138" i="4"/>
  <c r="AG137" i="4"/>
  <c r="AG134" i="4"/>
  <c r="AG133" i="4"/>
  <c r="AG130" i="4"/>
  <c r="AG129" i="4"/>
  <c r="AG126" i="4"/>
  <c r="AG125" i="4"/>
  <c r="AG122" i="4"/>
  <c r="AG121" i="4"/>
  <c r="AG118" i="4"/>
  <c r="AG117" i="4"/>
  <c r="AG114" i="4"/>
  <c r="AG113" i="4"/>
  <c r="AG110" i="4"/>
  <c r="AG109" i="4"/>
  <c r="AG106" i="4"/>
  <c r="AG105" i="4"/>
  <c r="AG102" i="4"/>
  <c r="AG101" i="4"/>
  <c r="AG98" i="4"/>
  <c r="AG97" i="4"/>
  <c r="AG94" i="4"/>
  <c r="AG93" i="4"/>
  <c r="AG90" i="4"/>
  <c r="AG89" i="4"/>
  <c r="AG86" i="4"/>
  <c r="AG85" i="4"/>
  <c r="AG82" i="4"/>
  <c r="AG81" i="4"/>
  <c r="AG78" i="4"/>
  <c r="AG77" i="4"/>
  <c r="AG74" i="4"/>
  <c r="AG73" i="4"/>
  <c r="AG70" i="4"/>
  <c r="AG69" i="4"/>
  <c r="AG66" i="4"/>
  <c r="AG65" i="4"/>
  <c r="AG62" i="4"/>
  <c r="AG61" i="4"/>
  <c r="AG58" i="4"/>
  <c r="AH58" i="4" s="1"/>
  <c r="AG57" i="4"/>
  <c r="AG54" i="4"/>
  <c r="AG50" i="4"/>
  <c r="AG49" i="4"/>
  <c r="AG46" i="4"/>
  <c r="AG42" i="4"/>
  <c r="AG41" i="4"/>
  <c r="AG38" i="4"/>
  <c r="AG34" i="4"/>
  <c r="AG33" i="4"/>
  <c r="AG30" i="4"/>
  <c r="AG29" i="4"/>
  <c r="AG25" i="4"/>
  <c r="AH25" i="4" s="1"/>
  <c r="AG22" i="4"/>
  <c r="AG21" i="4"/>
  <c r="AG18" i="4"/>
  <c r="AG14" i="4"/>
  <c r="AG13" i="4"/>
  <c r="AC13" i="4"/>
  <c r="AE18" i="4"/>
  <c r="AF18" i="4" s="1"/>
  <c r="AH18" i="4" s="1"/>
  <c r="AE14" i="4"/>
  <c r="AF14" i="4" s="1"/>
  <c r="AE13" i="4"/>
  <c r="U13" i="4"/>
  <c r="AC21" i="4"/>
  <c r="E202" i="4"/>
  <c r="D202" i="4"/>
  <c r="C202" i="4"/>
  <c r="B202" i="4"/>
  <c r="E201" i="4"/>
  <c r="D201" i="4"/>
  <c r="C201" i="4"/>
  <c r="B201" i="4"/>
  <c r="A200" i="4"/>
  <c r="E198" i="4"/>
  <c r="D198" i="4"/>
  <c r="C198" i="4"/>
  <c r="B198" i="4"/>
  <c r="E197" i="4"/>
  <c r="D197" i="4"/>
  <c r="C197" i="4"/>
  <c r="B197" i="4"/>
  <c r="A196" i="4"/>
  <c r="E194" i="4"/>
  <c r="D194" i="4"/>
  <c r="C194" i="4"/>
  <c r="B194" i="4"/>
  <c r="E193" i="4"/>
  <c r="D193" i="4"/>
  <c r="C193" i="4"/>
  <c r="B193" i="4"/>
  <c r="A192" i="4"/>
  <c r="E190" i="4"/>
  <c r="D190" i="4"/>
  <c r="C190" i="4"/>
  <c r="B190" i="4"/>
  <c r="E189" i="4"/>
  <c r="D189" i="4"/>
  <c r="C189" i="4"/>
  <c r="B189" i="4"/>
  <c r="A188" i="4"/>
  <c r="E186" i="4"/>
  <c r="D186" i="4"/>
  <c r="C186" i="4"/>
  <c r="B186" i="4"/>
  <c r="E185" i="4"/>
  <c r="D185" i="4"/>
  <c r="C185" i="4"/>
  <c r="B185" i="4"/>
  <c r="A184" i="4"/>
  <c r="E182" i="4"/>
  <c r="D182" i="4"/>
  <c r="C182" i="4"/>
  <c r="B182" i="4"/>
  <c r="E181" i="4"/>
  <c r="D181" i="4"/>
  <c r="C181" i="4"/>
  <c r="B181" i="4"/>
  <c r="A180" i="4"/>
  <c r="E178" i="4"/>
  <c r="D178" i="4"/>
  <c r="C178" i="4"/>
  <c r="B178" i="4"/>
  <c r="E177" i="4"/>
  <c r="D177" i="4"/>
  <c r="C177" i="4"/>
  <c r="B177" i="4"/>
  <c r="A176" i="4"/>
  <c r="E174" i="4"/>
  <c r="D174" i="4"/>
  <c r="C174" i="4"/>
  <c r="B174" i="4"/>
  <c r="E173" i="4"/>
  <c r="D173" i="4"/>
  <c r="C173" i="4"/>
  <c r="B173" i="4"/>
  <c r="A172" i="4"/>
  <c r="E170" i="4"/>
  <c r="D170" i="4"/>
  <c r="C170" i="4"/>
  <c r="B170" i="4"/>
  <c r="E169" i="4"/>
  <c r="D169" i="4"/>
  <c r="C169" i="4"/>
  <c r="B169" i="4"/>
  <c r="A168" i="4"/>
  <c r="E166" i="4"/>
  <c r="D166" i="4"/>
  <c r="C166" i="4"/>
  <c r="B166" i="4"/>
  <c r="E165" i="4"/>
  <c r="D165" i="4"/>
  <c r="C165" i="4"/>
  <c r="B165" i="4"/>
  <c r="A164" i="4"/>
  <c r="E162" i="4"/>
  <c r="D162" i="4"/>
  <c r="C162" i="4"/>
  <c r="B162" i="4"/>
  <c r="E161" i="4"/>
  <c r="D161" i="4"/>
  <c r="C161" i="4"/>
  <c r="B161" i="4"/>
  <c r="A160" i="4"/>
  <c r="E158" i="4"/>
  <c r="D158" i="4"/>
  <c r="C158" i="4"/>
  <c r="B158" i="4"/>
  <c r="E157" i="4"/>
  <c r="D157" i="4"/>
  <c r="C157" i="4"/>
  <c r="B157" i="4"/>
  <c r="A156" i="4"/>
  <c r="E154" i="4"/>
  <c r="D154" i="4"/>
  <c r="C154" i="4"/>
  <c r="B154" i="4"/>
  <c r="E153" i="4"/>
  <c r="D153" i="4"/>
  <c r="C153" i="4"/>
  <c r="B153" i="4"/>
  <c r="A152" i="4"/>
  <c r="E150" i="4"/>
  <c r="D150" i="4"/>
  <c r="C150" i="4"/>
  <c r="B150" i="4"/>
  <c r="E149" i="4"/>
  <c r="D149" i="4"/>
  <c r="C149" i="4"/>
  <c r="B149" i="4"/>
  <c r="A148" i="4"/>
  <c r="E146" i="4"/>
  <c r="D146" i="4"/>
  <c r="C146" i="4"/>
  <c r="B146" i="4"/>
  <c r="E145" i="4"/>
  <c r="D145" i="4"/>
  <c r="C145" i="4"/>
  <c r="B145" i="4"/>
  <c r="A144" i="4"/>
  <c r="E142" i="4"/>
  <c r="D142" i="4"/>
  <c r="C142" i="4"/>
  <c r="B142" i="4"/>
  <c r="E141" i="4"/>
  <c r="D141" i="4"/>
  <c r="C141" i="4"/>
  <c r="B141" i="4"/>
  <c r="A140" i="4"/>
  <c r="E138" i="4"/>
  <c r="D138" i="4"/>
  <c r="C138" i="4"/>
  <c r="B138" i="4"/>
  <c r="E137" i="4"/>
  <c r="D137" i="4"/>
  <c r="C137" i="4"/>
  <c r="B137" i="4"/>
  <c r="A136" i="4"/>
  <c r="E134" i="4"/>
  <c r="D134" i="4"/>
  <c r="C134" i="4"/>
  <c r="B134" i="4"/>
  <c r="E133" i="4"/>
  <c r="D133" i="4"/>
  <c r="C133" i="4"/>
  <c r="B133" i="4"/>
  <c r="A132" i="4"/>
  <c r="E130" i="4"/>
  <c r="D130" i="4"/>
  <c r="C130" i="4"/>
  <c r="B130" i="4"/>
  <c r="E129" i="4"/>
  <c r="D129" i="4"/>
  <c r="C129" i="4"/>
  <c r="B129" i="4"/>
  <c r="A128" i="4"/>
  <c r="E126" i="4"/>
  <c r="D126" i="4"/>
  <c r="C126" i="4"/>
  <c r="B126" i="4"/>
  <c r="E125" i="4"/>
  <c r="D125" i="4"/>
  <c r="C125" i="4"/>
  <c r="B125" i="4"/>
  <c r="A124" i="4"/>
  <c r="E122" i="4"/>
  <c r="D122" i="4"/>
  <c r="C122" i="4"/>
  <c r="B122" i="4"/>
  <c r="E121" i="4"/>
  <c r="D121" i="4"/>
  <c r="C121" i="4"/>
  <c r="B121" i="4"/>
  <c r="A120" i="4"/>
  <c r="E118" i="4"/>
  <c r="D118" i="4"/>
  <c r="C118" i="4"/>
  <c r="B118" i="4"/>
  <c r="E117" i="4"/>
  <c r="D117" i="4"/>
  <c r="C117" i="4"/>
  <c r="B117" i="4"/>
  <c r="A116" i="4"/>
  <c r="E114" i="4"/>
  <c r="D114" i="4"/>
  <c r="C114" i="4"/>
  <c r="B114" i="4"/>
  <c r="E113" i="4"/>
  <c r="D113" i="4"/>
  <c r="C113" i="4"/>
  <c r="B113" i="4"/>
  <c r="A112" i="4"/>
  <c r="E110" i="4"/>
  <c r="D110" i="4"/>
  <c r="C110" i="4"/>
  <c r="B110" i="4"/>
  <c r="E109" i="4"/>
  <c r="D109" i="4"/>
  <c r="C109" i="4"/>
  <c r="B109" i="4"/>
  <c r="A108" i="4"/>
  <c r="E106" i="4"/>
  <c r="D106" i="4"/>
  <c r="C106" i="4"/>
  <c r="B106" i="4"/>
  <c r="E105" i="4"/>
  <c r="D105" i="4"/>
  <c r="C105" i="4"/>
  <c r="B105" i="4"/>
  <c r="A104" i="4"/>
  <c r="E102" i="4"/>
  <c r="D102" i="4"/>
  <c r="C102" i="4"/>
  <c r="B102" i="4"/>
  <c r="E101" i="4"/>
  <c r="D101" i="4"/>
  <c r="C101" i="4"/>
  <c r="B101" i="4"/>
  <c r="A100" i="4"/>
  <c r="E98" i="4"/>
  <c r="D98" i="4"/>
  <c r="C98" i="4"/>
  <c r="B98" i="4"/>
  <c r="E97" i="4"/>
  <c r="D97" i="4"/>
  <c r="C97" i="4"/>
  <c r="B97" i="4"/>
  <c r="A96" i="4"/>
  <c r="E94" i="4"/>
  <c r="D94" i="4"/>
  <c r="C94" i="4"/>
  <c r="B94" i="4"/>
  <c r="E93" i="4"/>
  <c r="D93" i="4"/>
  <c r="C93" i="4"/>
  <c r="B93" i="4"/>
  <c r="A92" i="4"/>
  <c r="E90" i="4"/>
  <c r="D90" i="4"/>
  <c r="C90" i="4"/>
  <c r="B90" i="4"/>
  <c r="E89" i="4"/>
  <c r="D89" i="4"/>
  <c r="C89" i="4"/>
  <c r="B89" i="4"/>
  <c r="A88" i="4"/>
  <c r="C86" i="4"/>
  <c r="C85" i="4"/>
  <c r="E86" i="4"/>
  <c r="D86" i="4"/>
  <c r="B86" i="4"/>
  <c r="E85" i="4"/>
  <c r="D85" i="4"/>
  <c r="B85" i="4"/>
  <c r="A84" i="4"/>
  <c r="E82" i="4"/>
  <c r="D82" i="4"/>
  <c r="C82" i="4"/>
  <c r="B82" i="4"/>
  <c r="E81" i="4"/>
  <c r="D81" i="4"/>
  <c r="C81" i="4"/>
  <c r="B81" i="4"/>
  <c r="A80" i="4"/>
  <c r="E78" i="4"/>
  <c r="D78" i="4"/>
  <c r="C78" i="4"/>
  <c r="B78" i="4"/>
  <c r="E77" i="4"/>
  <c r="D77" i="4"/>
  <c r="C77" i="4"/>
  <c r="B77" i="4"/>
  <c r="A76" i="4"/>
  <c r="D74" i="4"/>
  <c r="C74" i="4"/>
  <c r="B74" i="4"/>
  <c r="D73" i="4"/>
  <c r="C73" i="4"/>
  <c r="B73" i="4"/>
  <c r="E74" i="4"/>
  <c r="D70" i="4"/>
  <c r="C70" i="4"/>
  <c r="B70" i="4"/>
  <c r="D69" i="4"/>
  <c r="C69" i="4"/>
  <c r="B69" i="4"/>
  <c r="E70" i="4"/>
  <c r="A68" i="4"/>
  <c r="D66" i="4"/>
  <c r="C66" i="4"/>
  <c r="B66" i="4"/>
  <c r="D65" i="4"/>
  <c r="C65" i="4"/>
  <c r="B65" i="4"/>
  <c r="A64" i="4"/>
  <c r="D62" i="4"/>
  <c r="C62" i="4"/>
  <c r="B62" i="4"/>
  <c r="D61" i="4"/>
  <c r="C61" i="4"/>
  <c r="B61" i="4"/>
  <c r="E62" i="4"/>
  <c r="A60" i="4"/>
  <c r="E58" i="4"/>
  <c r="D58" i="4"/>
  <c r="C58" i="4"/>
  <c r="B58" i="4"/>
  <c r="D57" i="4"/>
  <c r="C57" i="4"/>
  <c r="B57" i="4"/>
  <c r="A56" i="4"/>
  <c r="D54" i="4"/>
  <c r="C54" i="4"/>
  <c r="B54" i="4"/>
  <c r="D53" i="4"/>
  <c r="C53" i="4"/>
  <c r="B53" i="4"/>
  <c r="E54" i="4"/>
  <c r="A52" i="4"/>
  <c r="D50" i="4"/>
  <c r="C50" i="4"/>
  <c r="B50" i="4"/>
  <c r="D49" i="4"/>
  <c r="C49" i="4"/>
  <c r="B49" i="4"/>
  <c r="E50" i="4"/>
  <c r="A48" i="4"/>
  <c r="E46" i="4"/>
  <c r="D46" i="4"/>
  <c r="C46" i="4"/>
  <c r="B46" i="4"/>
  <c r="D45" i="4"/>
  <c r="C45" i="4"/>
  <c r="B45" i="4"/>
  <c r="E45" i="4"/>
  <c r="E42" i="4"/>
  <c r="D42" i="4"/>
  <c r="C42" i="4"/>
  <c r="B42" i="4"/>
  <c r="E41" i="4"/>
  <c r="D41" i="4"/>
  <c r="C41" i="4"/>
  <c r="B41" i="4"/>
  <c r="E38" i="4"/>
  <c r="D38" i="4"/>
  <c r="C38" i="4"/>
  <c r="B38" i="4"/>
  <c r="E37" i="4"/>
  <c r="D37" i="4"/>
  <c r="C37" i="4"/>
  <c r="B37" i="4"/>
  <c r="E34" i="4"/>
  <c r="D34" i="4"/>
  <c r="C34" i="4"/>
  <c r="B34" i="4"/>
  <c r="E33" i="4"/>
  <c r="D33" i="4"/>
  <c r="C33" i="4"/>
  <c r="B33" i="4"/>
  <c r="E30" i="4"/>
  <c r="D30" i="4"/>
  <c r="C30" i="4"/>
  <c r="B30" i="4"/>
  <c r="E29" i="4"/>
  <c r="D29" i="4"/>
  <c r="C29" i="4"/>
  <c r="B29" i="4"/>
  <c r="E26" i="4"/>
  <c r="D26" i="4"/>
  <c r="C26" i="4"/>
  <c r="B26" i="4"/>
  <c r="E25" i="4"/>
  <c r="D25" i="4"/>
  <c r="C25" i="4"/>
  <c r="B25" i="4"/>
  <c r="E22" i="4"/>
  <c r="D22" i="4"/>
  <c r="C22" i="4"/>
  <c r="B22" i="4"/>
  <c r="E21" i="4"/>
  <c r="D21" i="4"/>
  <c r="C21" i="4"/>
  <c r="B21" i="4"/>
  <c r="E18" i="4"/>
  <c r="D18" i="4"/>
  <c r="C18" i="4"/>
  <c r="B18" i="4"/>
  <c r="E17" i="4"/>
  <c r="D17" i="4"/>
  <c r="C17" i="4"/>
  <c r="B17" i="4"/>
  <c r="E14" i="4"/>
  <c r="E13" i="4"/>
  <c r="D14" i="4"/>
  <c r="D13" i="4"/>
  <c r="C14" i="4"/>
  <c r="C13" i="4"/>
  <c r="B14" i="4"/>
  <c r="B13" i="4"/>
  <c r="A40" i="4"/>
  <c r="A36" i="4"/>
  <c r="A32" i="4"/>
  <c r="A28" i="4"/>
  <c r="A24" i="4"/>
  <c r="A20" i="4"/>
  <c r="A12" i="4"/>
  <c r="A16" i="4"/>
  <c r="V15" i="1"/>
  <c r="AH33" i="4" l="1"/>
  <c r="AH34" i="4"/>
  <c r="AH38" i="4"/>
  <c r="AH22" i="4"/>
  <c r="AH46" i="4"/>
  <c r="AH49" i="4"/>
  <c r="AH14" i="4"/>
  <c r="AH50" i="4"/>
  <c r="AH54" i="4"/>
  <c r="AF13" i="4"/>
  <c r="AH13" i="4" s="1"/>
  <c r="Q5" i="4"/>
  <c r="AE21" i="4"/>
  <c r="AF21" i="4" s="1"/>
  <c r="AH21" i="4" s="1"/>
  <c r="A117" i="4"/>
  <c r="A170" i="4"/>
  <c r="A189" i="4"/>
  <c r="A146" i="4"/>
  <c r="A90" i="4"/>
  <c r="A177" i="4"/>
  <c r="A174" i="4"/>
  <c r="A182" i="4"/>
  <c r="A190" i="4"/>
  <c r="A166" i="4"/>
  <c r="A149" i="4"/>
  <c r="A185" i="4"/>
  <c r="A169" i="4"/>
  <c r="A202" i="4"/>
  <c r="A161" i="4"/>
  <c r="A109" i="4"/>
  <c r="A34" i="4"/>
  <c r="A45" i="4"/>
  <c r="A197" i="4"/>
  <c r="A165" i="4"/>
  <c r="A162" i="4"/>
  <c r="A118" i="4"/>
  <c r="A138" i="4"/>
  <c r="A181" i="4"/>
  <c r="A130" i="4"/>
  <c r="A122" i="4"/>
  <c r="A97" i="4"/>
  <c r="A114" i="4"/>
  <c r="A193" i="4"/>
  <c r="A186" i="4"/>
  <c r="A178" i="4"/>
  <c r="A150" i="4"/>
  <c r="A125" i="4"/>
  <c r="A198" i="4"/>
  <c r="A134" i="4"/>
  <c r="A133" i="4"/>
  <c r="A126" i="4"/>
  <c r="A201" i="4"/>
  <c r="A105" i="4"/>
  <c r="A121" i="4"/>
  <c r="A154" i="4"/>
  <c r="A137" i="4"/>
  <c r="A141" i="4"/>
  <c r="A81" i="4"/>
  <c r="A194" i="4"/>
  <c r="A113" i="4"/>
  <c r="A173" i="4"/>
  <c r="A157" i="4"/>
  <c r="A158" i="4"/>
  <c r="A153" i="4"/>
  <c r="A145" i="4"/>
  <c r="A142" i="4"/>
  <c r="A129" i="4"/>
  <c r="A33" i="4"/>
  <c r="A50" i="4"/>
  <c r="A26" i="4"/>
  <c r="A18" i="4"/>
  <c r="A13" i="4"/>
  <c r="A74" i="4"/>
  <c r="A98" i="4"/>
  <c r="A29" i="4"/>
  <c r="A78" i="4"/>
  <c r="A42" i="4"/>
  <c r="A82" i="4"/>
  <c r="A89" i="4"/>
  <c r="A25" i="4"/>
  <c r="A58" i="4"/>
  <c r="A30" i="4"/>
  <c r="A22" i="4"/>
  <c r="A93" i="4"/>
  <c r="A85" i="4"/>
  <c r="A17" i="4"/>
  <c r="A77" i="4"/>
  <c r="A94" i="4"/>
  <c r="A106" i="4"/>
  <c r="A46" i="4"/>
  <c r="A102" i="4"/>
  <c r="A110" i="4"/>
  <c r="A101" i="4"/>
  <c r="A86" i="4"/>
  <c r="A62" i="4"/>
  <c r="A41" i="4"/>
  <c r="A37" i="4"/>
  <c r="A38" i="4"/>
  <c r="A21" i="4"/>
  <c r="A72" i="4"/>
  <c r="E73" i="4"/>
  <c r="A73" i="4" s="1"/>
  <c r="A70" i="4"/>
  <c r="E69" i="4"/>
  <c r="A69" i="4" s="1"/>
  <c r="E65" i="4"/>
  <c r="A65" i="4" s="1"/>
  <c r="E66" i="4"/>
  <c r="A66" i="4" s="1"/>
  <c r="E61" i="4"/>
  <c r="A61" i="4" s="1"/>
  <c r="E57" i="4"/>
  <c r="A57" i="4" s="1"/>
  <c r="A54" i="4"/>
  <c r="E53" i="4"/>
  <c r="A53" i="4" s="1"/>
  <c r="E49" i="4"/>
  <c r="A49" i="4" s="1"/>
  <c r="A14" i="4"/>
  <c r="D66"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<sst xmlns="http://schemas.openxmlformats.org/spreadsheetml/2006/main" count="4579" uniqueCount="448">
  <si>
    <t>Lighting Equipment Specification</t>
  </si>
  <si>
    <t>This document summarises the lighting equipment specified for the Spotify offi ces.
There are functional as well as decorative luminaires specifi ed.
The decorative lighting equipment should be approved by the
Architects, allowing for a lighting technical review.
General voltage for equipment to be 230 V unless otherwise
specifi ed.
Control protocol used to be DALI with a KNX interface (existing
building control system).
The manufacturer contact information is listed herewith and
so are further notes and special requirements for each of the
equipment specifi ed.</t>
  </si>
  <si>
    <t>Manufacturer Contacts</t>
  </si>
  <si>
    <t>Hersteller</t>
  </si>
  <si>
    <t>Website</t>
  </si>
  <si>
    <t>Name</t>
  </si>
  <si>
    <t>Phone Number</t>
  </si>
  <si>
    <t>E-Mail</t>
  </si>
  <si>
    <t>Artemide Deutschland GmbH &amp; Co.KG</t>
  </si>
  <si>
    <t>www.artemide.com</t>
  </si>
  <si>
    <t>Herr Stefan Mau</t>
  </si>
  <si>
    <t>M: +49 172 24 49 081</t>
  </si>
  <si>
    <t>E-Mail: smau@artemide.de</t>
  </si>
  <si>
    <t>www.</t>
  </si>
  <si>
    <t>artemide.com</t>
  </si>
  <si>
    <t>Baulmann Leuchten GmbH</t>
  </si>
  <si>
    <t xml:space="preserve">www.baulmann.com </t>
  </si>
  <si>
    <t>Herr Arthur Hüsken</t>
  </si>
  <si>
    <t>M: +49 174 34 26 930</t>
  </si>
  <si>
    <t>E-Mail: a.huesken@ellux.de</t>
  </si>
  <si>
    <t xml:space="preserve">baulmann.com </t>
  </si>
  <si>
    <t>BEGA Gantenbrink-Leuchten KG</t>
  </si>
  <si>
    <t>www.bega.com</t>
  </si>
  <si>
    <t>Herr Felix Dehen</t>
  </si>
  <si>
    <t xml:space="preserve">M: +49 2373 96 69 336 </t>
  </si>
  <si>
    <t>E-Mail: service@bega.de</t>
  </si>
  <si>
    <t>bega.com</t>
  </si>
  <si>
    <t>Döllken Profiles GmbH</t>
  </si>
  <si>
    <t>www.doellken-lighting.com</t>
  </si>
  <si>
    <t>Frau Julia Manasse</t>
  </si>
  <si>
    <t>M: +49 162 25 98 782</t>
  </si>
  <si>
    <t>E-Mail: julia.manasse@doellken-lighting.com</t>
  </si>
  <si>
    <t>doellken-lighting.com</t>
  </si>
  <si>
    <t>Flos GmbH</t>
  </si>
  <si>
    <t>www.flos.com</t>
  </si>
  <si>
    <t xml:space="preserve">Herr Jens Pilchowski </t>
  </si>
  <si>
    <t>M: +49 170 73 22 031</t>
  </si>
  <si>
    <t>E-Mail: jens.pilchowski@flos.com</t>
  </si>
  <si>
    <t>flos.com</t>
  </si>
  <si>
    <t>Focus Lighting GmbH</t>
  </si>
  <si>
    <t>www.focus-lighting.dk</t>
  </si>
  <si>
    <t xml:space="preserve">Herr Stephan Andres </t>
  </si>
  <si>
    <t>M: +49 152 34 56 0493</t>
  </si>
  <si>
    <t>E-Mail: sa@focus-lighting.de</t>
  </si>
  <si>
    <t>focus-lighting.dk</t>
  </si>
  <si>
    <t>iGuzzini illuminazione Deutschland GmbH</t>
  </si>
  <si>
    <t>www.iguzzini.com</t>
  </si>
  <si>
    <t xml:space="preserve">Herr Enriko Kirschner </t>
  </si>
  <si>
    <t>M: +49 151 19 52 0642</t>
  </si>
  <si>
    <t>E-Mail: enriko.kirschner@iguzzini.com</t>
  </si>
  <si>
    <t>iguzzini.com</t>
  </si>
  <si>
    <t>Insta Lighting GmbH</t>
  </si>
  <si>
    <t>www.instalighting.de</t>
  </si>
  <si>
    <t xml:space="preserve">Herr Carsten Krauß </t>
  </si>
  <si>
    <t>M: +49 151 10 82 8887</t>
  </si>
  <si>
    <t>E-Mail: c.krauss@instalighting.de</t>
  </si>
  <si>
    <t>instalighting.de</t>
  </si>
  <si>
    <t>Josef Barthelme GmbH &amp; Co. KG</t>
  </si>
  <si>
    <t xml:space="preserve">www.barthelme.de </t>
  </si>
  <si>
    <t>Herr Marco Klemz</t>
  </si>
  <si>
    <t>M: +49 170 53 07 075</t>
  </si>
  <si>
    <t>E-Mail: m.klemz@barthelme.de</t>
  </si>
  <si>
    <t xml:space="preserve">barthelme.de </t>
  </si>
  <si>
    <t>Reggiani Spa Illuminazione</t>
  </si>
  <si>
    <t>www.regianni.net</t>
  </si>
  <si>
    <t xml:space="preserve">Herr Bastian Zsigmond </t>
  </si>
  <si>
    <t>M: +49 151 72 30 6818</t>
  </si>
  <si>
    <t>E-Mail: bastian.z@reggiani.net</t>
  </si>
  <si>
    <t>regianni.net</t>
  </si>
  <si>
    <t>Rentex Wand- und Deckensysteme GmbH</t>
  </si>
  <si>
    <t>www.rentex-systeme.de</t>
  </si>
  <si>
    <t>Herr André Itte</t>
  </si>
  <si>
    <t>T: +49 721 78 38 111</t>
  </si>
  <si>
    <t>E-Mail: andre.itte@rentex-systeme.de</t>
  </si>
  <si>
    <t>rentex-systeme.de</t>
  </si>
  <si>
    <t>Ribag Licht AG</t>
  </si>
  <si>
    <t>www.ribag.de</t>
  </si>
  <si>
    <t xml:space="preserve">Herr Marco Große </t>
  </si>
  <si>
    <t>M: +49 172 32 44 735</t>
  </si>
  <si>
    <t>E-Mail: marco.grosse@ribag.com</t>
  </si>
  <si>
    <t>ribag.de</t>
  </si>
  <si>
    <t>Stucchi Stromschiene</t>
  </si>
  <si>
    <t>www.aagstucchi.it</t>
  </si>
  <si>
    <t>Herr Christoph Gassel</t>
  </si>
  <si>
    <t>M: +43 676 60 61 729</t>
  </si>
  <si>
    <t>E-Mail: christoph.gassel@exceedation.com</t>
  </si>
  <si>
    <t>aagstucchi.it</t>
  </si>
  <si>
    <t>Trilux Vertrieb GmbH</t>
  </si>
  <si>
    <t>www.trilux.com</t>
  </si>
  <si>
    <t>Herr Frank Hinz</t>
  </si>
  <si>
    <t>M: +49 151 17 11 0373</t>
  </si>
  <si>
    <t>E-Mail: frank.hinz@trilux.com</t>
  </si>
  <si>
    <t>trilux.com</t>
  </si>
  <si>
    <t>WE-EF Leuchten GmbH</t>
  </si>
  <si>
    <t>www.we-ef.com</t>
  </si>
  <si>
    <t xml:space="preserve">Herr Detlef Herfter </t>
  </si>
  <si>
    <t>M +49 178 59 09 023</t>
  </si>
  <si>
    <t>E-Mail: d.herfter@we-ef.com</t>
  </si>
  <si>
    <t>we-ef.com</t>
  </si>
  <si>
    <t>Wever &amp; Ducré Deutschland GmbH</t>
  </si>
  <si>
    <t>www.weverducre.com</t>
  </si>
  <si>
    <t>Herr Holger Bruns</t>
  </si>
  <si>
    <t>M: +49 151 19 55 1801</t>
  </si>
  <si>
    <t>E-Mail: holger.bruns@weverducre.com</t>
  </si>
  <si>
    <t>weverducre.com</t>
  </si>
  <si>
    <t>XAL GmbH</t>
  </si>
  <si>
    <t>www.xal.com</t>
  </si>
  <si>
    <t xml:space="preserve">Herr Rainer Kneifel </t>
  </si>
  <si>
    <t>M: +49 151 55 04 4067</t>
  </si>
  <si>
    <t>E-Mail: rainer.kneifel@xal.com</t>
  </si>
  <si>
    <t>xal.com</t>
  </si>
  <si>
    <t xml:space="preserve">Decision Matrix </t>
  </si>
  <si>
    <t>Project</t>
  </si>
  <si>
    <t>Microsoft Berlin Office</t>
  </si>
  <si>
    <t>Condition Scale</t>
  </si>
  <si>
    <t>Unter den Linden 17</t>
  </si>
  <si>
    <t>1 - Very Good</t>
  </si>
  <si>
    <t>light fixture in a very good condition - no action required</t>
  </si>
  <si>
    <t>Header on print template</t>
  </si>
  <si>
    <t>Total Assessed Luminaires:</t>
  </si>
  <si>
    <t>* Expected replacement of the light source at an operating time of 12 hours per day, 365 days per year, after approx. XX years</t>
  </si>
  <si>
    <t>**G column referenced</t>
  </si>
  <si>
    <t>10117 Berlin</t>
  </si>
  <si>
    <t>2 - Good</t>
  </si>
  <si>
    <t>light fixture in generally good condition, could be improved</t>
  </si>
  <si>
    <t>3 - Adequate</t>
  </si>
  <si>
    <t>can still be used, but action is required</t>
  </si>
  <si>
    <t>Position being evaluated</t>
  </si>
  <si>
    <t>Total Cost of BH Recommendations:</t>
  </si>
  <si>
    <t>Date</t>
  </si>
  <si>
    <t>4 - Poor</t>
  </si>
  <si>
    <t>partially damaged, very dirty, or incomplete</t>
  </si>
  <si>
    <t>Options being considered</t>
  </si>
  <si>
    <t>Review</t>
  </si>
  <si>
    <t>Paula Longato</t>
  </si>
  <si>
    <t>5 - Broken</t>
  </si>
  <si>
    <t>luminaire broken, replacement required</t>
  </si>
  <si>
    <t>Not relevant</t>
  </si>
  <si>
    <t>Total Cost of Client Decisions:</t>
  </si>
  <si>
    <t>Created by</t>
  </si>
  <si>
    <t>Isabelle Blase</t>
  </si>
  <si>
    <t>Report Code</t>
  </si>
  <si>
    <t>Level</t>
  </si>
  <si>
    <t>Room No.</t>
  </si>
  <si>
    <t>Room Name</t>
  </si>
  <si>
    <t>Luminaire Type</t>
  </si>
  <si>
    <t>Option Number</t>
  </si>
  <si>
    <t>System Quantity in Space</t>
  </si>
  <si>
    <t>Manufacturer / Type</t>
  </si>
  <si>
    <t>Location</t>
  </si>
  <si>
    <t>System Description</t>
  </si>
  <si>
    <t>Current Light Technology</t>
  </si>
  <si>
    <t>Lamp Fitting</t>
  </si>
  <si>
    <t>Socket</t>
  </si>
  <si>
    <t>Eingebunden in Steuerung</t>
  </si>
  <si>
    <t>Assessed Condition</t>
  </si>
  <si>
    <t>Notes</t>
  </si>
  <si>
    <t>Option Name</t>
  </si>
  <si>
    <t>BH Recommendation</t>
  </si>
  <si>
    <t>Client Decision</t>
  </si>
  <si>
    <t>Technical Specification</t>
  </si>
  <si>
    <t>System Power Consumption</t>
  </si>
  <si>
    <t>Estimated Energy Saving</t>
  </si>
  <si>
    <t>System Rated Life Time</t>
  </si>
  <si>
    <t>Expected Maintenance Cycle*</t>
  </si>
  <si>
    <t>Warranty</t>
  </si>
  <si>
    <t>Delivery Time</t>
  </si>
  <si>
    <t>Cost per Lamp</t>
  </si>
  <si>
    <t>Lamps per System</t>
  </si>
  <si>
    <t>Cost per System</t>
  </si>
  <si>
    <t>Mounting Cost per System (%)</t>
  </si>
  <si>
    <t>Mounting Cost per System (€)</t>
  </si>
  <si>
    <t>Total Cost incl. Mounting per System</t>
  </si>
  <si>
    <t>System Quantity in Space**</t>
  </si>
  <si>
    <t>Estimated Total Systems Cost incl. 
Mounting per Room</t>
  </si>
  <si>
    <t>Recommended Additional services</t>
  </si>
  <si>
    <t>Anticipated Risks</t>
  </si>
  <si>
    <t>Sustainability Considerations</t>
  </si>
  <si>
    <t>Product link</t>
  </si>
  <si>
    <t>4.OG</t>
  </si>
  <si>
    <t>Dahlem</t>
  </si>
  <si>
    <t>01</t>
  </si>
  <si>
    <t>X</t>
  </si>
  <si>
    <t xml:space="preserve">XAL / Mino 100 </t>
  </si>
  <si>
    <t>Ceiling</t>
  </si>
  <si>
    <t>Pendant</t>
  </si>
  <si>
    <t>Fluorescent</t>
  </si>
  <si>
    <t>4x28/54W</t>
  </si>
  <si>
    <t>G5</t>
  </si>
  <si>
    <t>ja</t>
  </si>
  <si>
    <r>
      <t xml:space="preserve">incorrect light bulb installed - Meat+
</t>
    </r>
    <r>
      <rPr>
        <i/>
        <sz val="10"/>
        <color rgb="FF000000"/>
        <rFont val="Segoe UI"/>
        <family val="2"/>
      </rPr>
      <t xml:space="preserve">
Light color with an increased red component, which is typically used in stores that sell meat products to make the product look better.</t>
    </r>
  </si>
  <si>
    <t>-</t>
  </si>
  <si>
    <t>Lamp Replacement</t>
  </si>
  <si>
    <t>TBC</t>
  </si>
  <si>
    <t>Ledvance T5 G5 LED-Tube
4000lm, 26W, 3000K, Dimmable</t>
  </si>
  <si>
    <t>13 years</t>
  </si>
  <si>
    <t xml:space="preserve">cleaning </t>
  </si>
  <si>
    <t>Driver replacement may be necessary to ensure dimmability and flicker-free operation.</t>
  </si>
  <si>
    <t>1. 50-60% energy saving
2. reduced CO2 emissions
3. Longer lifetime = less maintenance
4. recyclable materials (no mercury)</t>
  </si>
  <si>
    <t>https://www.ledvance.com/en-int/professional-lighting/products/lamps/led-tubes/ledvance-led-tubes/led-replacement-for-t5-fl-g5-bases/led-tubes-for-electronic-high-frequency-control-gears-c245161?productId=229938</t>
  </si>
  <si>
    <t>Luminaire Replacement</t>
  </si>
  <si>
    <t>XAL Mino 60 dir/indir, L=2344mm, 70W, 3000K, DALI</t>
  </si>
  <si>
    <t>11 years</t>
  </si>
  <si>
    <t>integration of new luminaire into the control system</t>
  </si>
  <si>
    <t>The ceiling may be damaged at the actual installation points.</t>
  </si>
  <si>
    <t>1. 30-40% energy saving
2. reduced CO2 emissions
3. Longer lifetime = less maintenance
4. replacable LED Modules</t>
  </si>
  <si>
    <t>02</t>
  </si>
  <si>
    <t>Spittler - Logo Square 150 Plus</t>
  </si>
  <si>
    <t>Ceiling mounted</t>
  </si>
  <si>
    <t>COB LED</t>
  </si>
  <si>
    <t>18W</t>
  </si>
  <si>
    <r>
      <rPr>
        <b/>
        <sz val="10"/>
        <color theme="1"/>
        <rFont val="Segoe UI"/>
        <family val="2"/>
      </rPr>
      <t>no exchange necesssary yet</t>
    </r>
    <r>
      <rPr>
        <sz val="10"/>
        <color theme="1"/>
        <rFont val="Segoe UI"/>
        <family val="2"/>
      </rPr>
      <t xml:space="preserve">
If the luminaire is broken, a new one will probably need to be installed, as this type is no longer available.
A possible, equivalent replacement is shown in Option 2.</t>
    </r>
  </si>
  <si>
    <t>No action required yet</t>
  </si>
  <si>
    <t>cleaning required</t>
  </si>
  <si>
    <t>XAL Sasso 60 square, 72x72x108mm, 
10,2W, 3000K, DALI</t>
  </si>
  <si>
    <t>Option 2 has smaller dimensions than the existing light fixture. The ceiling will need to be repaired at the original installation location when replacing it.</t>
  </si>
  <si>
    <t>1. 44% energy saving
2. reduced CO2 emissions</t>
  </si>
  <si>
    <t>Pausenraum</t>
  </si>
  <si>
    <t>Occhio Divo</t>
  </si>
  <si>
    <t>Halogen</t>
  </si>
  <si>
    <t>48 W</t>
  </si>
  <si>
    <t>G9</t>
  </si>
  <si>
    <t>Luminaire in good condition; If the luminaire needs to be replaced, an equivalent luminaire must be selected, as the Divo is no longer produced. An alternative is described in Option 2.</t>
  </si>
  <si>
    <t xml:space="preserve">Osram LED, G9, 470lm, 4,4W, 2700K, Dimmable </t>
  </si>
  <si>
    <t>5,5 years</t>
  </si>
  <si>
    <t>1. 90% energy saving
2. reduced CO2 emissions
3. Longer lifetime = less maintenance</t>
  </si>
  <si>
    <t>https://shop.ledvance.com/products/osram-led-pin-g9-dim-led-lampe-g9-dimmbar-4-40-w-40-w-ersatz-fur-klar-warm-white-2700-k?srsltid=AfmBOoqVcdq9OzdqabWS8IoI4aZoOObJD4OuingkPRieu4v-2UFI5Ttr</t>
  </si>
  <si>
    <t>Luna Sospeso 125, 550lm, 9W, 2700°K, Phasecut-Dimmable</t>
  </si>
  <si>
    <t>1. 50-60% energy saving
2. reduced CO2 emissions
3. Longer lifetime = less maintenance
4. replacable LED Modules</t>
  </si>
  <si>
    <t>WIPO Elektrotechnik / Cubic 68</t>
  </si>
  <si>
    <t>Niche</t>
  </si>
  <si>
    <t>Joinery</t>
  </si>
  <si>
    <t>5,2 W</t>
  </si>
  <si>
    <t xml:space="preserve">One luminaire broken; Cut-Out 68mm; Can be used for replacement without changing the cut-out; </t>
  </si>
  <si>
    <t>Hera FAQ 68, 4W, 312lm, 2700°K, DALI Dimmable, incl. DALI Driver 120W/24V</t>
  </si>
  <si>
    <t>13,5 years</t>
  </si>
  <si>
    <t>integration of new luminaires into the control system</t>
  </si>
  <si>
    <t xml:space="preserve">Lifespan of furniture recessed luminaire may be reduced by limited air circulation and elevated temperatures within a closed surrounding. Maintaining distance from heat-retaining materials and using a suitable driver is necessary. </t>
  </si>
  <si>
    <t>1. 23% energy saving</t>
  </si>
  <si>
    <t>03</t>
  </si>
  <si>
    <t>XAL Sasso 100 Square trimless</t>
  </si>
  <si>
    <t>Recessed</t>
  </si>
  <si>
    <t>11 W</t>
  </si>
  <si>
    <t xml:space="preserve">Luminaires in a very good condition. Same type still available </t>
  </si>
  <si>
    <t>Mitte</t>
  </si>
  <si>
    <t>XAL / Mino 100</t>
  </si>
  <si>
    <t>2x28/54W</t>
  </si>
  <si>
    <t>Luminaire needs cleaning</t>
  </si>
  <si>
    <t>Ledvance T5 G5 LED-Tube, 4000lm, 26W, 3000K, Dimmable</t>
  </si>
  <si>
    <t>cleaning</t>
  </si>
  <si>
    <t>XAL Mino 60 dir/indir, L=1172mm, 34W, 3000K, DALI</t>
  </si>
  <si>
    <t>Spittler / Logo Square 150 Plus</t>
  </si>
  <si>
    <t>18 W</t>
  </si>
  <si>
    <t>Friedrichshain</t>
  </si>
  <si>
    <t>4x28/54 W</t>
  </si>
  <si>
    <t>incorrect light bulb installed - Meat+
Light color with an increased red component, which is typically used in stores that sell meat products to make the product look better.</t>
  </si>
  <si>
    <t>=CONCATENATE('Decision Matrix v.02'!C3;",";</t>
  </si>
  <si>
    <t>Kreuzberg</t>
  </si>
  <si>
    <t>ü</t>
  </si>
  <si>
    <t>û</t>
  </si>
  <si>
    <t>Storage</t>
  </si>
  <si>
    <t>GU5.3 NV</t>
  </si>
  <si>
    <t>Philips Master Value LED Spot GU5,3 MR16, 5,8W, 460lm, 3000K, Dimmable</t>
  </si>
  <si>
    <t>Molto Luce Otin, Einbaustrahler, D=100mm, 11,5W, 1580lm
227-01111302219005d</t>
  </si>
  <si>
    <t>5 years</t>
  </si>
  <si>
    <t>Cut-out must be anlarged for the new fixture</t>
  </si>
  <si>
    <t xml:space="preserve">exchangable LED module, which can be reordered. </t>
  </si>
  <si>
    <t>https://www.moltoluce.com/de-DE/produkte/produkt-marketing-seiten/otin-2</t>
  </si>
  <si>
    <t>WC D</t>
  </si>
  <si>
    <t>PinHole</t>
  </si>
  <si>
    <t>WC H</t>
  </si>
  <si>
    <t>1.OG</t>
  </si>
  <si>
    <t>Rezeption</t>
  </si>
  <si>
    <t>Mawa</t>
  </si>
  <si>
    <t>50 W</t>
  </si>
  <si>
    <t>Honeycomb fehlt, oder zum Teil kaputt
Kaputte Teile der Leuchten 
übergestrichen</t>
  </si>
  <si>
    <t>Delta Light</t>
  </si>
  <si>
    <t>28W HE 830</t>
  </si>
  <si>
    <t>Seamless Lampe</t>
  </si>
  <si>
    <t>Erco</t>
  </si>
  <si>
    <t>75 W</t>
  </si>
  <si>
    <t>GY6.35</t>
  </si>
  <si>
    <t>46039 - Erco Downlight 
Reflektor gut, Diffusor gut
Lampe kann gewechselt werden beim herausziehen des Aussenreflektors</t>
  </si>
  <si>
    <t>04</t>
  </si>
  <si>
    <t>46013 - Erco WW</t>
  </si>
  <si>
    <t>Rezeption Flur</t>
  </si>
  <si>
    <t>05</t>
  </si>
  <si>
    <t>Flur Rezeption</t>
  </si>
  <si>
    <t>06</t>
  </si>
  <si>
    <t>Bocci</t>
  </si>
  <si>
    <t>Xenon/20W</t>
  </si>
  <si>
    <t>komplizierter LM Tausch</t>
  </si>
  <si>
    <t>Rezeption Fenster</t>
  </si>
  <si>
    <t>07</t>
  </si>
  <si>
    <t>Hoffmeister Close By - 100159</t>
  </si>
  <si>
    <t>2 x 80 W</t>
  </si>
  <si>
    <t>Strahlt die Fenster an</t>
  </si>
  <si>
    <t>08</t>
  </si>
  <si>
    <t>Hoffmeister Close By - 100160</t>
  </si>
  <si>
    <t>1 x 54 W</t>
  </si>
  <si>
    <t>09</t>
  </si>
  <si>
    <t>Hoffmeister Close By - 102097</t>
  </si>
  <si>
    <t>3 x 80 W</t>
  </si>
  <si>
    <t>Boardroom</t>
  </si>
  <si>
    <t>128x230mm</t>
  </si>
  <si>
    <t>75W/GY6.35</t>
  </si>
  <si>
    <t>Wallwasher über Besprechungstisch</t>
  </si>
  <si>
    <t xml:space="preserve">2 x 35/49/80W </t>
  </si>
  <si>
    <t>Strahlt die Fenster an; L-Form; LM 35W/840</t>
  </si>
  <si>
    <t>Boardroom Stehleuchte</t>
  </si>
  <si>
    <t>Floor</t>
  </si>
  <si>
    <t>Floorlamp</t>
  </si>
  <si>
    <t>LED Retrofit</t>
  </si>
  <si>
    <t>4 W</t>
  </si>
  <si>
    <t>E27</t>
  </si>
  <si>
    <t>10</t>
  </si>
  <si>
    <t>Wardrobe</t>
  </si>
  <si>
    <t>Prolight</t>
  </si>
  <si>
    <t>2G11</t>
  </si>
  <si>
    <t>EG</t>
  </si>
  <si>
    <t>XXXX</t>
  </si>
  <si>
    <t>Flur Küche</t>
  </si>
  <si>
    <t>18W/827</t>
  </si>
  <si>
    <t>G24q2</t>
  </si>
  <si>
    <t>versch. Lichtfarben</t>
  </si>
  <si>
    <t>Flur Büro Küche</t>
  </si>
  <si>
    <t>26W/840</t>
  </si>
  <si>
    <t>Büro Küche</t>
  </si>
  <si>
    <t>Atrium</t>
  </si>
  <si>
    <t>Trackspot</t>
  </si>
  <si>
    <t>unterschiedliche Leuchten; dimmbar m. Poti</t>
  </si>
  <si>
    <t>Atrium Regie</t>
  </si>
  <si>
    <t>Monopoint</t>
  </si>
  <si>
    <t>Atrium Vorraum</t>
  </si>
  <si>
    <t>Kantine</t>
  </si>
  <si>
    <t>kleinerer Durchmesser</t>
  </si>
  <si>
    <t>teilweise defekt; Einzelstrahler</t>
  </si>
  <si>
    <t>Torch</t>
  </si>
  <si>
    <t>GU10 HV</t>
  </si>
  <si>
    <t>teilweise defekter Diffusor; teilweise Retrofit LM</t>
  </si>
  <si>
    <t>E14</t>
  </si>
  <si>
    <t>yes</t>
  </si>
  <si>
    <t>schwer erreichbar</t>
  </si>
  <si>
    <t>Wall</t>
  </si>
  <si>
    <t>no</t>
  </si>
  <si>
    <t>Deckenbeschädigung</t>
  </si>
  <si>
    <t>incomprehensible</t>
  </si>
  <si>
    <t>Leuchtenbeschädigung</t>
  </si>
  <si>
    <t>Linear</t>
  </si>
  <si>
    <t>yes, not functional</t>
  </si>
  <si>
    <t>Möbelbeschädigung</t>
  </si>
  <si>
    <t>Xenon</t>
  </si>
  <si>
    <t>keine</t>
  </si>
  <si>
    <t>G13</t>
  </si>
  <si>
    <t>R7s</t>
  </si>
  <si>
    <t>G53</t>
  </si>
  <si>
    <t>B15</t>
  </si>
  <si>
    <t>PLACE THE LOGO SOMEWHERE EASY TO SEE</t>
  </si>
  <si>
    <t xml:space="preserve">SIZE / FOMAT OF PRINT? </t>
  </si>
  <si>
    <t>1 - very good</t>
  </si>
  <si>
    <t>2 - good</t>
  </si>
  <si>
    <t>LIST MANUF. CONTACTS</t>
  </si>
  <si>
    <t>3 - adequate</t>
  </si>
  <si>
    <t>4 - poor</t>
  </si>
  <si>
    <t>Done in Room Book file and v.02</t>
  </si>
  <si>
    <t>DISCLAIMERS (ZB. STEUERUNG, FLICKER, NEEDS TO BE CHECKED BY CONTRACTOR PRIOR TO ORDERING)</t>
  </si>
  <si>
    <t>5 - broken</t>
  </si>
  <si>
    <t>Copied to v.02</t>
  </si>
  <si>
    <t>Room</t>
  </si>
  <si>
    <t>Quantity</t>
  </si>
  <si>
    <t>Manufacturer</t>
  </si>
  <si>
    <t>Luminaire type</t>
  </si>
  <si>
    <t>Current technology</t>
  </si>
  <si>
    <t>Fitting</t>
  </si>
  <si>
    <t>Condition</t>
  </si>
  <si>
    <t>Options</t>
  </si>
  <si>
    <t>Recommended approach</t>
  </si>
  <si>
    <t>Dcision</t>
  </si>
  <si>
    <t>Replacement Specification</t>
  </si>
  <si>
    <t>Estimated energy savings</t>
  </si>
  <si>
    <t>Estimated Maintenance</t>
  </si>
  <si>
    <t>Cost per unit</t>
  </si>
  <si>
    <t>Total costs incl. Mounting</t>
  </si>
  <si>
    <t>Additional services</t>
  </si>
  <si>
    <t>Risks</t>
  </si>
  <si>
    <t>Sustainability</t>
  </si>
  <si>
    <t>4010 - Dahlem</t>
  </si>
  <si>
    <t xml:space="preserve">XAL 
Mino 100 </t>
  </si>
  <si>
    <t>Leuchtstoff</t>
  </si>
  <si>
    <t xml:space="preserve">Option 1: replacement of Lamp
</t>
  </si>
  <si>
    <r>
      <rPr>
        <b/>
        <sz val="10"/>
        <color theme="1"/>
        <rFont val="Segoe UI"/>
        <family val="2"/>
      </rPr>
      <t>Option 1</t>
    </r>
    <r>
      <rPr>
        <sz val="10"/>
        <color theme="1"/>
        <rFont val="Segoe UI"/>
        <family val="2"/>
      </rPr>
      <t>: replacement of Lamps
and eventually change of driver; 
cleaning of light fixture required</t>
    </r>
  </si>
  <si>
    <t>60.000hrs lifetime - 
Expected replacement of the light source at an operating time of 12 hours per day, 365 days per year, after approx. 13 years.</t>
  </si>
  <si>
    <t>Option 2: replacement of luminaire</t>
  </si>
  <si>
    <t xml:space="preserve">XAL Mino 100 </t>
  </si>
  <si>
    <t>no exchange necessary</t>
  </si>
  <si>
    <t>4210 - Pausenraum</t>
  </si>
  <si>
    <t>Occhio</t>
  </si>
  <si>
    <t>48/60W</t>
  </si>
  <si>
    <t>Option 1: replacement of Lamp
Option 2: replacement of luminaire</t>
  </si>
  <si>
    <r>
      <t xml:space="preserve">
</t>
    </r>
    <r>
      <rPr>
        <sz val="10"/>
        <color theme="1"/>
        <rFont val="Segoe UI"/>
        <family val="2"/>
      </rPr>
      <t xml:space="preserve">LED Retrofit replacement
</t>
    </r>
  </si>
  <si>
    <t>25.000hrs lifetime - 
Expected replacement of the light source at an operating time of 12 hours per day, 365 days per year, after approx. 5,5 years.</t>
  </si>
  <si>
    <t xml:space="preserve">1. 90% energy saving
2. reduced CO2 emissions
3. Longer lifetime = less maintenance
</t>
  </si>
  <si>
    <r>
      <rPr>
        <b/>
        <sz val="10"/>
        <color theme="1"/>
        <rFont val="Segoe UI"/>
        <family val="2"/>
      </rPr>
      <t>Option 1</t>
    </r>
    <r>
      <rPr>
        <sz val="10"/>
        <color theme="1"/>
        <rFont val="Segoe UI"/>
        <family val="2"/>
      </rPr>
      <t xml:space="preserve">: 
https://shop.ledvance.com/products/osram-led-pin-g9-dim-led-lampe-g9-dimmbar-4-40-w-40-w-ersatz-fur-klar-warm-white-2700-k?srsltid=AfmBOoqVcdq9OzdqabWS8IoI4aZoOObJD4OuingkPRieu4v-2UFI5Ttr
</t>
    </r>
  </si>
  <si>
    <r>
      <rPr>
        <b/>
        <sz val="10"/>
        <color theme="1"/>
        <rFont val="Segoe UI"/>
        <family val="2"/>
      </rPr>
      <t>Option 1</t>
    </r>
    <r>
      <rPr>
        <sz val="10"/>
        <color theme="1"/>
        <rFont val="Segoe UI"/>
        <family val="2"/>
      </rPr>
      <t xml:space="preserve">: Complete replacement of the four lmrs
</t>
    </r>
  </si>
  <si>
    <t>COB LED, 4W, 2700K, CRI&gt;93, Dimmable</t>
  </si>
  <si>
    <r>
      <rPr>
        <b/>
        <sz val="10"/>
        <color theme="1"/>
        <rFont val="Segoe UI"/>
        <family val="2"/>
      </rPr>
      <t>Option 1</t>
    </r>
    <r>
      <rPr>
        <sz val="10"/>
        <color theme="1"/>
        <rFont val="Segoe UI"/>
        <family val="2"/>
      </rPr>
      <t xml:space="preserve">: 60.000hrs lifetime - 
Expected replacement of the luminaire at an operating time of 12 hours per day, 365 days per year, after approx. 13,5 years. </t>
    </r>
  </si>
  <si>
    <t xml:space="preserve">The lifespan of a furniture recessed luminaire may be reduced by limited air circulation and elevated temperatures within a closed surrounding, as heat accelerates the aging of both the LED and its electronics. maintaining distance from heat-retaining materials and using a suitable power supply with thermal protection is necessary. </t>
  </si>
  <si>
    <t>https://www.hera-shop.com/produkte/ein-und-anbauleuchten/flache-metall-einbauleuchte-eckig-faq-68-led-4w-xw-edelstahloptik-20203188004</t>
  </si>
  <si>
    <t>XAL (?) CUBU</t>
  </si>
  <si>
    <t>1 - Very good</t>
  </si>
  <si>
    <t xml:space="preserve">no change necessary </t>
  </si>
  <si>
    <t>.</t>
  </si>
  <si>
    <t xml:space="preserve">4006 - Mitte </t>
  </si>
  <si>
    <t>XAL Mino 100 / Trilux (?)</t>
  </si>
  <si>
    <t>28/54W</t>
  </si>
  <si>
    <r>
      <rPr>
        <b/>
        <sz val="10"/>
        <color theme="1"/>
        <rFont val="Segoe UI"/>
        <family val="2"/>
      </rPr>
      <t>Option 1</t>
    </r>
    <r>
      <rPr>
        <sz val="10"/>
        <color theme="1"/>
        <rFont val="Segoe UI"/>
        <family val="2"/>
      </rPr>
      <t xml:space="preserve">: replacement of Lamps
and eventually change of driver
</t>
    </r>
    <r>
      <rPr>
        <sz val="10"/>
        <color rgb="FFFF0000"/>
        <rFont val="Segoe UI"/>
        <family val="2"/>
      </rPr>
      <t xml:space="preserve">Option 2: complete replacement of luminaire (not recommended)
</t>
    </r>
  </si>
  <si>
    <t>1. 50-60% energy saving
2. reduced CO2 emissions
3. Longer lifetime = less maintenance
4. recyclable materials</t>
  </si>
  <si>
    <t>4007 - Friedrichshain</t>
  </si>
  <si>
    <r>
      <rPr>
        <b/>
        <sz val="10"/>
        <color theme="1"/>
        <rFont val="Segoe UI"/>
        <family val="2"/>
      </rPr>
      <t>Option 1</t>
    </r>
    <r>
      <rPr>
        <sz val="10"/>
        <color theme="1"/>
        <rFont val="Segoe UI"/>
        <family val="2"/>
      </rPr>
      <t xml:space="preserve">: replacement of Lamps
and eventually change of driver
</t>
    </r>
  </si>
  <si>
    <t>4004 -Kreuzberg</t>
  </si>
  <si>
    <t>4004 - Kreuzberg</t>
  </si>
  <si>
    <t xml:space="preserve">4011 - Storage </t>
  </si>
  <si>
    <t>4009 - WC D</t>
  </si>
  <si>
    <t>4008 - WC H</t>
  </si>
  <si>
    <t>1002- Rezeption</t>
  </si>
  <si>
    <t>50W</t>
  </si>
  <si>
    <t>1002 - Rezeption</t>
  </si>
  <si>
    <t>75W</t>
  </si>
  <si>
    <t>1002 - Rezeption Fenster</t>
  </si>
  <si>
    <t xml:space="preserve">2 x 80W </t>
  </si>
  <si>
    <t>1 x 54W</t>
  </si>
  <si>
    <t>3 x 80W</t>
  </si>
  <si>
    <t>1006 - Boardroom</t>
  </si>
  <si>
    <t>1005 - Boardroom</t>
  </si>
  <si>
    <t>1004 - Boardroom</t>
  </si>
  <si>
    <t>1004 - Boardroom - Stehleuchte</t>
  </si>
  <si>
    <t>4W</t>
  </si>
  <si>
    <t>1003 - Wardrobe</t>
  </si>
  <si>
    <t>1008 - WC D</t>
  </si>
  <si>
    <t>1009 - WC H</t>
  </si>
  <si>
    <t>Flur Küche EG</t>
  </si>
  <si>
    <t>Regie</t>
  </si>
  <si>
    <t>Vorraum Atrium</t>
  </si>
  <si>
    <t xml:space="preserve">Mawa </t>
  </si>
  <si>
    <t>LED Lamp Replacement - Decision Matrix</t>
  </si>
  <si>
    <t>2-4 working days</t>
  </si>
  <si>
    <t>https://www.beleuchtungdirekt.de/philips-master-value-led-spot-gu5-3-mr16-5-8w-460lm-60d-930-warmweiss-hochste-farbwiedergabe-dimmbar-ersatz-fur-35w-8719514307261?channable=4048d4736b750038373139353134333037323631aa&amp;qcd=1&amp;utm_gst=cea4cd1bf2ff0b0a312a93749cf2ad6204182c4f&amp;productid=8719514307261&amp;gad_source=1&amp;gad_campaignid=21416061079&amp;gbraid=0AAAAADrtkO7pLqiBkRmj1LrS68OARIGC5&amp;gclid=CjwKCAjwlOrFBhBaEiwAw4bYDT0H4Ct25fJM3TsV61bzze3ji_WVwRvbn-vGrHm7R195J9VqDn7FMRoCKOIQAvD_BwE</t>
  </si>
  <si>
    <t xml:space="preserve">Honeycomb is missing; Lmr was overpainted; partially damaged and not in a good condition at all.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</si>
</sst>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0.00\ &quot;€&quot;;[Red]\-#,##0.00\ &quot;€&quot;"/>
    <numFmt numFmtId="164" formatCode="0\ \W"/>
    <numFmt numFmtId="165" formatCode="0.00\ \W"/>
    <numFmt numFmtId="166" formatCode="0.0\ \W"/>
    <numFmt numFmtId="167" formatCode="0.000\ \h"/>
    <numFmt numFmtId="168" formatCode="#,##0.00\ [$€-407]"/>
    <numFmt numFmtId="169" formatCode="#,##0\ [$€-407]"/>
    <numFmt numFmtId="170" formatCode="0\ \h"/>
  </numFmts>
  <fonts count="26" x14ac:knownFonts="1">
    <font>
      <sz val="10"/>
      <color theme="1"/>
      <name val="Segoe UI"/>
      <family val="2"/>
    </font>
    <font>
      <b/>
      <sz val="10"/>
      <color theme="1"/>
      <name val="Segoe UI"/>
      <family val="2"/>
    </font>
    <font>
      <b/>
      <sz val="20"/>
      <color theme="1"/>
      <name val="Segoe UI"/>
      <family val="2"/>
    </font>
    <font>
      <sz val="8"/>
      <name val="Segoe UI"/>
      <family val="2"/>
    </font>
    <font>
      <sz val="10"/>
      <color rgb="FF000000"/>
      <name val="Segoe UI"/>
      <family val="2"/>
    </font>
    <font>
      <i/>
      <sz val="10"/>
      <color rgb="FF000000"/>
      <name val="Segoe UI"/>
      <family val="2"/>
    </font>
    <font>
      <u/>
      <sz val="10"/>
      <color theme="10"/>
      <name val="Segoe UI"/>
      <family val="2"/>
    </font>
    <font>
      <sz val="10"/>
      <color rgb="FFFF0000"/>
      <name val="Segoe UI"/>
      <family val="2"/>
    </font>
    <font>
      <b/>
      <sz val="10"/>
      <color rgb="FFFF0000"/>
      <name val="Segoe UI"/>
      <family val="2"/>
    </font>
    <font>
      <b/>
      <sz val="10"/>
      <name val="Segoe UI"/>
      <family val="2"/>
    </font>
    <font>
      <sz val="10"/>
      <name val="Segoe UI"/>
      <family val="2"/>
    </font>
    <font>
      <sz val="10"/>
      <color theme="0"/>
      <name val="Segoe UI"/>
      <family val="2"/>
    </font>
    <font>
      <sz val="10"/>
      <color theme="1"/>
      <name val="Wingdings"/>
      <charset val="2"/>
    </font>
    <font>
      <sz val="10"/>
      <color theme="1"/>
      <name val="Segoe UI"/>
      <family val="2"/>
    </font>
    <font>
      <b/>
      <sz val="26"/>
      <name val="Segoe UI"/>
      <family val="2"/>
    </font>
    <font>
      <sz val="26"/>
      <color theme="1"/>
      <name val="Segoe UI"/>
      <family val="2"/>
    </font>
    <font>
      <b/>
      <sz val="9"/>
      <color theme="1"/>
      <name val="Segoe UI"/>
      <family val="2"/>
    </font>
    <font>
      <sz val="9"/>
      <color theme="1"/>
      <name val="Segoe UI"/>
      <family val="2"/>
    </font>
    <font>
      <b/>
      <sz val="8"/>
      <color theme="1"/>
      <name val="Segoe UI"/>
      <family val="2"/>
    </font>
    <font>
      <b/>
      <sz val="12"/>
      <color theme="1"/>
      <name val="Segoe UI"/>
      <family val="2"/>
    </font>
    <font>
      <i/>
      <sz val="8"/>
      <color theme="1"/>
      <name val="Segoe UI"/>
      <family val="2"/>
    </font>
    <font>
      <b/>
      <sz val="25"/>
      <color theme="1"/>
      <name val="Segoe UI"/>
      <family val="2"/>
    </font>
    <font>
      <sz val="8"/>
      <color theme="1"/>
      <name val="Segoe UI"/>
      <family val="2"/>
    </font>
    <font>
      <b/>
      <sz val="14"/>
      <color theme="1"/>
      <name val="Segoe UI"/>
      <family val="2"/>
    </font>
    <font>
      <sz val="26"/>
      <color theme="1"/>
      <name val="Wingdings"/>
      <charset val="2"/>
    </font>
    <font>
      <b/>
      <sz val="18"/>
      <color theme="1"/>
      <name val="Segoe UI"/>
      <family val="2"/>
    </font>
  </fonts>
  <fills count="13">
    <fill>
      <patternFill patternType="none"/>
    </fill>
    <fill>
      <patternFill patternType="gray125"/>
    </fill>
    <fill>
      <patternFill patternType="solid">
        <fgColor rgb="FFCEEAB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34998626667073579"/>
        <bgColor indexed="64"/>
      </patternFill>
    </fill>
    <fill>
      <patternFill patternType="solid">
        <fgColor theme="1" tint="4.9989318521683403E-2"/>
        <bgColor indexed="64"/>
      </patternFill>
    </fill>
    <fill>
      <patternFill patternType="solid">
        <fgColor rgb="FF00E668"/>
        <bgColor indexed="64"/>
      </patternFill>
    </fill>
    <fill>
      <patternFill patternType="solid">
        <fgColor rgb="FFFF7171"/>
        <bgColor indexed="64"/>
      </patternFill>
    </fill>
    <fill>
      <patternFill patternType="solid">
        <fgColor rgb="FFF7C7AC"/>
        <bgColor indexed="64"/>
      </patternFill>
    </fill>
    <fill>
      <patternFill patternType="solid">
        <fgColor rgb="FFF1A983"/>
        <bgColor indexed="64"/>
      </patternFill>
    </fill>
    <fill>
      <patternFill patternType="solid">
        <fgColor rgb="FFBAE18F"/>
        <bgColor indexed="64"/>
      </patternFill>
    </fill>
    <fill>
      <patternFill patternType="solid">
        <fgColor theme="7"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s>
  <cellStyleXfs count="3">
    <xf numFmtId="0" fontId="0" fillId="0" borderId="0"/>
    <xf numFmtId="0" fontId="6" fillId="0" borderId="0" applyNumberFormat="0" applyFill="0" applyBorder="0" applyAlignment="0" applyProtection="0"/>
    <xf numFmtId="9" fontId="13" fillId="0" borderId="0" applyFont="0" applyFill="0" applyBorder="0" applyAlignment="0" applyProtection="0"/>
  </cellStyleXfs>
  <cellXfs count="181">
    <xf numFmtId="0" fontId="0" fillId="0" borderId="0" xfId="0"/>
    <xf numFmtId="0" fontId="1" fillId="0" borderId="0" xfId="0" applyFont="1"/>
    <xf numFmtId="0" fontId="0" fillId="0" borderId="0" xfId="0" applyAlignment="1">
      <alignment horizontal="right"/>
    </xf>
    <xf numFmtId="0" fontId="1" fillId="0" borderId="0" xfId="0" applyFont="1" applyAlignment="1">
      <alignment horizontal="right"/>
    </xf>
    <xf numFmtId="0" fontId="0" fillId="0" borderId="0" xfId="0" applyAlignment="1">
      <alignment vertical="center"/>
    </xf>
    <xf numFmtId="0" fontId="0" fillId="0" borderId="0" xfId="0" applyAlignment="1">
      <alignment horizont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4" fontId="0" fillId="0" borderId="0" xfId="0" applyNumberFormat="1"/>
    <xf numFmtId="0" fontId="2" fillId="0" borderId="0" xfId="0" applyFont="1" applyAlignment="1">
      <alignment horizontal="left"/>
    </xf>
    <xf numFmtId="9" fontId="0" fillId="0" borderId="1" xfId="0" applyNumberFormat="1" applyBorder="1" applyAlignment="1">
      <alignment horizontal="center" vertical="center"/>
    </xf>
    <xf numFmtId="8" fontId="0" fillId="0" borderId="1" xfId="0" applyNumberFormat="1" applyBorder="1" applyAlignment="1">
      <alignment horizontal="center" vertical="center"/>
    </xf>
    <xf numFmtId="0" fontId="0" fillId="0" borderId="1" xfId="0" applyBorder="1" applyAlignment="1">
      <alignment horizontal="left" vertical="center" wrapText="1"/>
    </xf>
    <xf numFmtId="0" fontId="6" fillId="0" borderId="1" xfId="1" applyBorder="1" applyAlignment="1">
      <alignment vertical="center" wrapText="1"/>
    </xf>
    <xf numFmtId="0" fontId="0" fillId="0" borderId="1" xfId="0" quotePrefix="1" applyBorder="1" applyAlignment="1">
      <alignment vertical="center"/>
    </xf>
    <xf numFmtId="0" fontId="0" fillId="0" borderId="1" xfId="0" quotePrefix="1" applyBorder="1" applyAlignment="1">
      <alignment horizontal="center" vertical="center"/>
    </xf>
    <xf numFmtId="0" fontId="0" fillId="0" borderId="1" xfId="0" quotePrefix="1" applyBorder="1" applyAlignment="1">
      <alignment vertical="center" wrapText="1"/>
    </xf>
    <xf numFmtId="0" fontId="0" fillId="0" borderId="0" xfId="0" applyAlignment="1">
      <alignment horizontal="left"/>
    </xf>
    <xf numFmtId="0" fontId="8" fillId="0" borderId="0" xfId="0" applyFont="1" applyAlignment="1">
      <alignment horizontal="left"/>
    </xf>
    <xf numFmtId="0" fontId="1" fillId="0" borderId="0" xfId="0" applyFont="1" applyAlignment="1">
      <alignment horizontal="center"/>
    </xf>
    <xf numFmtId="0" fontId="9" fillId="0" borderId="1" xfId="0" applyFont="1" applyBorder="1" applyAlignment="1">
      <alignment horizontal="center" vertical="center" wrapText="1"/>
    </xf>
    <xf numFmtId="8"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0" borderId="2" xfId="0" quotePrefix="1" applyBorder="1" applyAlignment="1">
      <alignment horizontal="center" vertical="center"/>
    </xf>
    <xf numFmtId="0" fontId="0" fillId="0" borderId="3" xfId="0" quotePrefix="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2" borderId="1" xfId="0" applyFill="1" applyBorder="1" applyAlignment="1">
      <alignment vertical="center"/>
    </xf>
    <xf numFmtId="0" fontId="0" fillId="0" borderId="1" xfId="0" applyBorder="1" applyAlignment="1">
      <alignment horizontal="left" vertical="center"/>
    </xf>
    <xf numFmtId="0" fontId="0" fillId="3"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10" fillId="5" borderId="1" xfId="0" applyFont="1" applyFill="1" applyBorder="1" applyAlignment="1">
      <alignment vertical="center"/>
    </xf>
    <xf numFmtId="0" fontId="4" fillId="5" borderId="1" xfId="0" applyFont="1" applyFill="1" applyBorder="1" applyAlignment="1">
      <alignment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10" fillId="3" borderId="1" xfId="0" applyFont="1" applyFill="1" applyBorder="1" applyAlignment="1">
      <alignment vertical="center"/>
    </xf>
    <xf numFmtId="0" fontId="4" fillId="3" borderId="1" xfId="0" applyFont="1" applyFill="1" applyBorder="1" applyAlignment="1">
      <alignment vertical="center" wrapText="1"/>
    </xf>
    <xf numFmtId="0" fontId="0" fillId="5" borderId="1" xfId="0" applyFill="1" applyBorder="1" applyAlignment="1">
      <alignment horizontal="center" vertical="center" wrapText="1"/>
    </xf>
    <xf numFmtId="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0" fillId="6" borderId="1" xfId="0" applyFill="1" applyBorder="1" applyAlignment="1">
      <alignment vertical="center"/>
    </xf>
    <xf numFmtId="0" fontId="0" fillId="6" borderId="1" xfId="0" applyFill="1" applyBorder="1" applyAlignment="1">
      <alignment horizontal="left" vertic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10" fillId="6" borderId="1" xfId="0" applyFont="1" applyFill="1" applyBorder="1" applyAlignment="1">
      <alignment vertical="center"/>
    </xf>
    <xf numFmtId="0" fontId="4" fillId="6" borderId="1" xfId="0" applyFont="1" applyFill="1" applyBorder="1" applyAlignment="1">
      <alignment vertical="center" wrapText="1"/>
    </xf>
    <xf numFmtId="0" fontId="0" fillId="6" borderId="1" xfId="0" applyFill="1" applyBorder="1" applyAlignment="1">
      <alignment horizontal="center" vertical="center" wrapText="1"/>
    </xf>
    <xf numFmtId="9" fontId="0" fillId="6" borderId="1" xfId="0" applyNumberFormat="1" applyFill="1" applyBorder="1" applyAlignment="1">
      <alignment horizontal="center" vertical="center"/>
    </xf>
    <xf numFmtId="8" fontId="0" fillId="6" borderId="1" xfId="0" applyNumberFormat="1" applyFill="1" applyBorder="1" applyAlignment="1">
      <alignment horizontal="center" vertical="center" wrapText="1"/>
    </xf>
    <xf numFmtId="8"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6" fillId="6" borderId="1" xfId="1" applyFill="1" applyBorder="1" applyAlignment="1">
      <alignment vertical="center" wrapText="1"/>
    </xf>
    <xf numFmtId="0" fontId="0" fillId="5" borderId="1" xfId="0" quotePrefix="1" applyFill="1" applyBorder="1" applyAlignment="1">
      <alignment vertical="center"/>
    </xf>
    <xf numFmtId="0" fontId="0" fillId="5" borderId="1" xfId="0" quotePrefix="1" applyFill="1" applyBorder="1" applyAlignment="1">
      <alignment horizontal="center" vertical="center"/>
    </xf>
    <xf numFmtId="0" fontId="0" fillId="6" borderId="1" xfId="0" quotePrefix="1" applyFill="1" applyBorder="1" applyAlignment="1">
      <alignment vertical="center"/>
    </xf>
    <xf numFmtId="0" fontId="0" fillId="6" borderId="1" xfId="0" quotePrefix="1" applyFill="1" applyBorder="1" applyAlignment="1">
      <alignment horizontal="center" vertical="center"/>
    </xf>
    <xf numFmtId="9" fontId="0" fillId="6" borderId="1" xfId="0" applyNumberFormat="1" applyFill="1" applyBorder="1" applyAlignment="1">
      <alignment horizontal="center" vertical="center" wrapText="1"/>
    </xf>
    <xf numFmtId="0" fontId="0" fillId="3" borderId="1" xfId="0" quotePrefix="1" applyFill="1" applyBorder="1" applyAlignment="1">
      <alignment vertical="center" wrapText="1"/>
    </xf>
    <xf numFmtId="9" fontId="0" fillId="5" borderId="1" xfId="0" applyNumberFormat="1" applyFill="1" applyBorder="1" applyAlignment="1">
      <alignment horizontal="center" vertical="center" wrapText="1"/>
    </xf>
    <xf numFmtId="0" fontId="0" fillId="0" borderId="1" xfId="0" quotePrefix="1" applyBorder="1" applyAlignment="1">
      <alignment horizontal="center" vertical="center" wrapText="1"/>
    </xf>
    <xf numFmtId="0" fontId="12" fillId="0" borderId="0" xfId="0" applyFont="1"/>
    <xf numFmtId="0" fontId="1" fillId="0" borderId="0" xfId="0" applyFont="1" applyAlignment="1">
      <alignment horizontal="left"/>
    </xf>
    <xf numFmtId="14" fontId="0" fillId="0" borderId="0" xfId="0" applyNumberFormat="1" applyAlignment="1">
      <alignment horizontal="left"/>
    </xf>
    <xf numFmtId="0" fontId="1" fillId="6" borderId="4" xfId="0" applyFont="1" applyFill="1" applyBorder="1" applyAlignment="1">
      <alignment horizontal="center" vertical="center"/>
    </xf>
    <xf numFmtId="0" fontId="0" fillId="3" borderId="4" xfId="0" applyFill="1" applyBorder="1" applyAlignment="1">
      <alignment vertical="center"/>
    </xf>
    <xf numFmtId="0" fontId="0" fillId="0" borderId="4" xfId="0" applyBorder="1" applyAlignment="1">
      <alignment vertical="center"/>
    </xf>
    <xf numFmtId="0" fontId="0" fillId="6" borderId="4" xfId="0" applyFill="1" applyBorder="1" applyAlignment="1">
      <alignment vertical="center"/>
    </xf>
    <xf numFmtId="0" fontId="1" fillId="0" borderId="5" xfId="0" applyFont="1" applyBorder="1" applyAlignment="1">
      <alignment vertical="center"/>
    </xf>
    <xf numFmtId="0" fontId="1" fillId="6" borderId="5" xfId="0" applyFont="1" applyFill="1" applyBorder="1" applyAlignment="1">
      <alignment vertical="center"/>
    </xf>
    <xf numFmtId="0" fontId="0" fillId="3" borderId="5" xfId="0" applyFill="1" applyBorder="1" applyAlignment="1">
      <alignment vertical="center"/>
    </xf>
    <xf numFmtId="0" fontId="0" fillId="0" borderId="5" xfId="0" applyBorder="1" applyAlignment="1">
      <alignment vertical="center"/>
    </xf>
    <xf numFmtId="0" fontId="0" fillId="6" borderId="5" xfId="0" applyFill="1" applyBorder="1" applyAlignment="1">
      <alignment vertical="center"/>
    </xf>
    <xf numFmtId="0" fontId="0" fillId="3" borderId="1" xfId="0" applyFill="1" applyBorder="1" applyAlignment="1">
      <alignment horizontal="left"/>
    </xf>
    <xf numFmtId="0" fontId="0" fillId="0" borderId="1" xfId="0" applyBorder="1" applyAlignment="1">
      <alignment horizontal="left"/>
    </xf>
    <xf numFmtId="0" fontId="11" fillId="5" borderId="1" xfId="0" applyFont="1" applyFill="1" applyBorder="1" applyAlignment="1">
      <alignment horizontal="left"/>
    </xf>
    <xf numFmtId="0" fontId="0" fillId="3" borderId="1" xfId="0" quotePrefix="1" applyFill="1" applyBorder="1" applyAlignment="1">
      <alignment horizontal="center" vertical="center"/>
    </xf>
    <xf numFmtId="0" fontId="0" fillId="4" borderId="1" xfId="0" applyFill="1" applyBorder="1" applyAlignment="1">
      <alignment vertical="center"/>
    </xf>
    <xf numFmtId="0" fontId="0" fillId="2" borderId="0" xfId="0" applyFill="1"/>
    <xf numFmtId="0" fontId="0" fillId="4" borderId="0" xfId="0" applyFill="1"/>
    <xf numFmtId="0" fontId="12" fillId="0" borderId="0" xfId="0" applyFont="1" applyAlignment="1">
      <alignment horizontal="center"/>
    </xf>
    <xf numFmtId="8" fontId="0" fillId="5" borderId="1" xfId="0" applyNumberFormat="1" applyFill="1" applyBorder="1" applyAlignment="1">
      <alignment horizontal="left" vertical="center"/>
    </xf>
    <xf numFmtId="8" fontId="0" fillId="0" borderId="1" xfId="0" applyNumberFormat="1" applyBorder="1" applyAlignment="1">
      <alignment horizontal="left" vertical="center"/>
    </xf>
    <xf numFmtId="8" fontId="0" fillId="0" borderId="1" xfId="0" quotePrefix="1" applyNumberFormat="1" applyBorder="1" applyAlignment="1">
      <alignment horizontal="left" vertical="center" wrapText="1"/>
    </xf>
    <xf numFmtId="8" fontId="0" fillId="6" borderId="1" xfId="0" quotePrefix="1" applyNumberFormat="1" applyFill="1" applyBorder="1" applyAlignment="1">
      <alignment horizontal="left" vertical="center" wrapText="1"/>
    </xf>
    <xf numFmtId="0" fontId="0" fillId="5" borderId="1" xfId="0" quotePrefix="1" applyFill="1" applyBorder="1" applyAlignment="1">
      <alignment horizontal="left" vertical="center"/>
    </xf>
    <xf numFmtId="0" fontId="0" fillId="0" borderId="1" xfId="0" quotePrefix="1" applyBorder="1" applyAlignment="1">
      <alignment horizontal="left" vertical="center"/>
    </xf>
    <xf numFmtId="0" fontId="0" fillId="0" borderId="1" xfId="0" quotePrefix="1" applyBorder="1" applyAlignment="1">
      <alignment horizontal="left" vertical="center" wrapText="1"/>
    </xf>
    <xf numFmtId="0" fontId="0" fillId="6" borderId="1" xfId="0" quotePrefix="1" applyFill="1" applyBorder="1" applyAlignment="1">
      <alignment horizontal="left" vertical="center"/>
    </xf>
    <xf numFmtId="8" fontId="0" fillId="6" borderId="1" xfId="0" applyNumberFormat="1" applyFill="1" applyBorder="1" applyAlignment="1">
      <alignment horizontal="left" vertical="center"/>
    </xf>
    <xf numFmtId="8" fontId="0" fillId="0" borderId="1" xfId="0" applyNumberFormat="1" applyBorder="1" applyAlignment="1">
      <alignment horizontal="left" vertical="center" wrapText="1"/>
    </xf>
    <xf numFmtId="0" fontId="1" fillId="12" borderId="4" xfId="0" applyFont="1" applyFill="1" applyBorder="1" applyAlignment="1">
      <alignment horizontal="center" vertical="center"/>
    </xf>
    <xf numFmtId="0" fontId="1" fillId="12" borderId="1" xfId="0" applyFont="1" applyFill="1" applyBorder="1" applyAlignment="1">
      <alignment horizontal="center" vertical="center" wrapText="1"/>
    </xf>
    <xf numFmtId="0" fontId="0" fillId="12" borderId="1" xfId="0" applyFill="1" applyBorder="1"/>
    <xf numFmtId="0" fontId="1" fillId="12" borderId="1" xfId="0" applyFont="1" applyFill="1" applyBorder="1" applyAlignment="1">
      <alignment horizontal="center" vertical="center"/>
    </xf>
    <xf numFmtId="0" fontId="9" fillId="12" borderId="1" xfId="0" applyFont="1" applyFill="1" applyBorder="1" applyAlignment="1">
      <alignment horizontal="center" vertical="center" wrapText="1"/>
    </xf>
    <xf numFmtId="16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6" fontId="0" fillId="0" borderId="1" xfId="0" applyNumberFormat="1" applyBorder="1" applyAlignment="1">
      <alignment horizontal="center" vertical="center" wrapText="1"/>
    </xf>
    <xf numFmtId="167" fontId="0" fillId="0" borderId="1" xfId="0" applyNumberFormat="1" applyBorder="1" applyAlignment="1">
      <alignment horizontal="center" vertical="center"/>
    </xf>
    <xf numFmtId="168" fontId="0" fillId="5" borderId="1" xfId="0" applyNumberFormat="1" applyFill="1" applyBorder="1" applyAlignment="1">
      <alignment horizontal="center" vertical="center" wrapText="1"/>
    </xf>
    <xf numFmtId="168" fontId="0" fillId="0" borderId="1" xfId="0" applyNumberFormat="1" applyBorder="1" applyAlignment="1">
      <alignment horizontal="center" vertical="center" wrapText="1"/>
    </xf>
    <xf numFmtId="168" fontId="0" fillId="6" borderId="1" xfId="0" applyNumberFormat="1" applyFill="1" applyBorder="1" applyAlignment="1">
      <alignment horizontal="center" vertical="center" wrapText="1"/>
    </xf>
    <xf numFmtId="168" fontId="0" fillId="5" borderId="1" xfId="0" quotePrefix="1" applyNumberFormat="1" applyFill="1" applyBorder="1" applyAlignment="1">
      <alignment horizontal="center" vertical="center"/>
    </xf>
    <xf numFmtId="168" fontId="0" fillId="0" borderId="1" xfId="0" quotePrefix="1" applyNumberFormat="1" applyBorder="1" applyAlignment="1">
      <alignment horizontal="center" vertical="center"/>
    </xf>
    <xf numFmtId="168" fontId="0" fillId="0" borderId="1" xfId="0" quotePrefix="1" applyNumberFormat="1" applyBorder="1" applyAlignment="1">
      <alignment horizontal="center" vertical="center" wrapText="1"/>
    </xf>
    <xf numFmtId="168" fontId="0" fillId="6" borderId="1" xfId="0" quotePrefix="1" applyNumberFormat="1" applyFill="1" applyBorder="1" applyAlignment="1">
      <alignment horizontal="center" vertical="center"/>
    </xf>
    <xf numFmtId="9" fontId="0" fillId="0" borderId="1" xfId="2" applyFont="1" applyBorder="1" applyAlignment="1">
      <alignment horizontal="center" vertical="center" wrapText="1"/>
    </xf>
    <xf numFmtId="0" fontId="0" fillId="3" borderId="1" xfId="0" quotePrefix="1" applyFill="1" applyBorder="1" applyAlignment="1">
      <alignment horizontal="left" vertical="center"/>
    </xf>
    <xf numFmtId="0" fontId="0" fillId="7" borderId="0" xfId="0" applyFill="1" applyAlignment="1">
      <alignment horizontal="left"/>
    </xf>
    <xf numFmtId="0" fontId="0" fillId="11" borderId="0" xfId="0" applyFill="1" applyAlignment="1">
      <alignment horizontal="left"/>
    </xf>
    <xf numFmtId="0" fontId="0" fillId="9" borderId="0" xfId="0" applyFill="1" applyAlignment="1">
      <alignment horizontal="left"/>
    </xf>
    <xf numFmtId="0" fontId="0" fillId="10" borderId="0" xfId="0" applyFill="1" applyAlignment="1">
      <alignment horizontal="left"/>
    </xf>
    <xf numFmtId="0" fontId="0" fillId="8" borderId="0" xfId="0" applyFill="1" applyAlignment="1">
      <alignment horizontal="left"/>
    </xf>
    <xf numFmtId="0" fontId="1" fillId="0" borderId="6" xfId="0" applyFont="1" applyBorder="1" applyAlignment="1">
      <alignment horizontal="center"/>
    </xf>
    <xf numFmtId="0" fontId="14" fillId="6"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6" borderId="1" xfId="0" applyFont="1" applyFill="1" applyBorder="1" applyAlignment="1">
      <alignment horizontal="center" vertical="center" wrapText="1"/>
    </xf>
    <xf numFmtId="0" fontId="15" fillId="5" borderId="1" xfId="0" quotePrefix="1" applyFont="1" applyFill="1" applyBorder="1" applyAlignment="1">
      <alignment horizontal="center" vertical="center"/>
    </xf>
    <xf numFmtId="0" fontId="15" fillId="6" borderId="1" xfId="0" quotePrefix="1" applyFont="1" applyFill="1" applyBorder="1" applyAlignment="1">
      <alignment horizontal="center" vertical="center"/>
    </xf>
    <xf numFmtId="169" fontId="1" fillId="0" borderId="6" xfId="0" applyNumberFormat="1" applyFont="1" applyBorder="1" applyAlignment="1">
      <alignment horizontal="center"/>
    </xf>
    <xf numFmtId="0" fontId="16" fillId="0" borderId="0" xfId="0" applyFont="1"/>
    <xf numFmtId="0" fontId="17" fillId="0" borderId="0" xfId="0" applyFont="1"/>
    <xf numFmtId="0" fontId="18" fillId="0" borderId="0" xfId="0" applyFont="1"/>
    <xf numFmtId="0" fontId="19" fillId="0" borderId="0" xfId="0" applyFont="1"/>
    <xf numFmtId="0" fontId="17" fillId="0" borderId="0" xfId="0" applyFont="1" applyAlignment="1">
      <alignment horizontal="left"/>
    </xf>
    <xf numFmtId="0" fontId="16" fillId="0" borderId="0" xfId="0" applyFont="1" applyAlignment="1">
      <alignment horizontal="right"/>
    </xf>
    <xf numFmtId="0" fontId="17" fillId="0" borderId="0" xfId="0" applyFont="1" applyAlignment="1">
      <alignment vertical="top" wrapText="1"/>
    </xf>
    <xf numFmtId="0" fontId="17" fillId="0" borderId="0" xfId="0" applyFont="1" applyAlignment="1">
      <alignment vertical="top"/>
    </xf>
    <xf numFmtId="0" fontId="20" fillId="0" borderId="0" xfId="0" applyFont="1" applyAlignment="1">
      <alignment vertical="top" wrapText="1"/>
    </xf>
    <xf numFmtId="0" fontId="0" fillId="0" borderId="0" xfId="0" applyAlignment="1">
      <alignment vertical="top"/>
    </xf>
    <xf numFmtId="0" fontId="21" fillId="0" borderId="0" xfId="0" applyFont="1" applyAlignment="1">
      <alignment vertical="center"/>
    </xf>
    <xf numFmtId="0" fontId="0" fillId="0" borderId="0" xfId="0" applyAlignment="1">
      <alignment vertical="top" wrapText="1"/>
    </xf>
    <xf numFmtId="14" fontId="0" fillId="0" borderId="0" xfId="0" applyNumberFormat="1" applyAlignment="1">
      <alignment horizontal="left" vertical="top" wrapText="1"/>
    </xf>
    <xf numFmtId="0" fontId="17" fillId="0" borderId="7" xfId="0" applyFont="1" applyBorder="1"/>
    <xf numFmtId="0" fontId="16" fillId="0" borderId="7" xfId="0" applyFont="1" applyBorder="1"/>
    <xf numFmtId="0" fontId="17" fillId="0" borderId="8" xfId="0" applyFont="1" applyBorder="1"/>
    <xf numFmtId="0" fontId="16" fillId="0" borderId="8" xfId="0" applyFont="1" applyBorder="1"/>
    <xf numFmtId="0" fontId="17" fillId="0" borderId="7" xfId="0" applyFont="1" applyBorder="1" applyAlignment="1">
      <alignment vertical="top" wrapText="1"/>
    </xf>
    <xf numFmtId="0" fontId="0" fillId="0" borderId="8" xfId="0" applyBorder="1"/>
    <xf numFmtId="0" fontId="0" fillId="0" borderId="7" xfId="0" applyBorder="1"/>
    <xf numFmtId="0" fontId="17" fillId="0" borderId="7" xfId="0" applyFont="1" applyBorder="1" applyAlignment="1">
      <alignment vertical="top"/>
    </xf>
    <xf numFmtId="0" fontId="17" fillId="0" borderId="8" xfId="0" applyFont="1" applyBorder="1" applyAlignment="1">
      <alignment vertical="top"/>
    </xf>
    <xf numFmtId="0" fontId="0" fillId="0" borderId="7" xfId="0" applyBorder="1" applyAlignment="1">
      <alignment vertical="top" wrapText="1"/>
    </xf>
    <xf numFmtId="0" fontId="20" fillId="0" borderId="7" xfId="0" applyFont="1" applyBorder="1" applyAlignment="1">
      <alignment vertical="top" wrapText="1"/>
    </xf>
    <xf numFmtId="0" fontId="0" fillId="0" borderId="8" xfId="0" applyBorder="1" applyAlignment="1">
      <alignment vertical="top" wrapText="1"/>
    </xf>
    <xf numFmtId="0" fontId="20" fillId="0" borderId="8" xfId="0" applyFont="1" applyBorder="1" applyAlignment="1">
      <alignment vertical="top" wrapText="1"/>
    </xf>
    <xf numFmtId="0" fontId="23" fillId="0" borderId="0" xfId="0" applyFont="1" applyAlignment="1">
      <alignment horizontal="left"/>
    </xf>
    <xf numFmtId="0" fontId="24" fillId="0" borderId="1" xfId="0" applyFont="1" applyBorder="1" applyAlignment="1">
      <alignment horizontal="center" vertical="center" wrapText="1"/>
    </xf>
    <xf numFmtId="170" fontId="0" fillId="0" borderId="1" xfId="0" applyNumberFormat="1" applyBorder="1" applyAlignment="1">
      <alignment horizontal="center" vertical="center"/>
    </xf>
    <xf numFmtId="0" fontId="25" fillId="0" borderId="0" xfId="0" applyFont="1"/>
    <xf numFmtId="0" fontId="0" fillId="0" borderId="0" xfId="0" applyAlignment="1">
      <alignment horizontal="left" vertical="top"/>
    </xf>
    <xf numFmtId="0" fontId="22" fillId="0" borderId="0" xfId="0" applyFont="1" applyAlignment="1">
      <alignment horizontal="left" vertical="top" wrapText="1"/>
    </xf>
    <xf numFmtId="0" fontId="22" fillId="0" borderId="0" xfId="0" applyFont="1" applyAlignment="1">
      <alignment horizontal="left" vertical="top"/>
    </xf>
    <xf numFmtId="0" fontId="8" fillId="0" borderId="0" xfId="0" applyFont="1" applyAlignment="1">
      <alignment horizontal="lef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2" xfId="0" quotePrefix="1" applyBorder="1" applyAlignment="1">
      <alignment horizontal="center" vertical="center"/>
    </xf>
    <xf numFmtId="0" fontId="0" fillId="0" borderId="3" xfId="0" quotePrefix="1" applyBorder="1" applyAlignment="1">
      <alignment horizontal="center" vertical="center"/>
    </xf>
    <xf numFmtId="0" fontId="19" fillId="0" borderId="0" xfId="0" applyFont="1" applyAlignment="1">
      <alignment horizontal="left" vertical="center"/>
    </xf>
  </cellXfs>
  <cellStyles count="3">
    <cellStyle name="Hyperlink" xfId="1" builtinId="8"/>
    <cellStyle name="Normal" xfId="0" builtinId="0"/>
    <cellStyle name="Percent" xfId="2" builtinId="5"/>
  </cellStyles>
  <dxfs count="22">
    <dxf>
      <font>
        <b val="0"/>
        <i val="0"/>
      </font>
      <fill>
        <patternFill patternType="solid">
          <bgColor rgb="FF00EA6A"/>
        </patternFill>
      </fill>
    </dxf>
    <dxf>
      <fill>
        <patternFill>
          <bgColor theme="5" tint="0.39994506668294322"/>
        </patternFill>
      </fill>
    </dxf>
    <dxf>
      <fill>
        <patternFill>
          <bgColor rgb="FFFFFFB9"/>
        </patternFill>
      </fill>
    </dxf>
    <dxf>
      <fill>
        <patternFill>
          <bgColor rgb="FFFF6D6D"/>
        </patternFill>
      </fill>
    </dxf>
    <dxf>
      <fill>
        <patternFill>
          <bgColor theme="9" tint="0.79998168889431442"/>
        </patternFill>
      </fill>
    </dxf>
    <dxf>
      <font>
        <b val="0"/>
        <i val="0"/>
      </font>
      <fill>
        <patternFill patternType="solid">
          <bgColor rgb="FFBAE18F"/>
        </patternFill>
      </fill>
    </dxf>
    <dxf>
      <fill>
        <patternFill>
          <bgColor rgb="FFF1A983"/>
        </patternFill>
      </fill>
    </dxf>
    <dxf>
      <fill>
        <patternFill>
          <bgColor rgb="FFF7C7AC"/>
        </patternFill>
      </fill>
    </dxf>
    <dxf>
      <fill>
        <patternFill>
          <bgColor rgb="FFFF7171"/>
        </patternFill>
      </fill>
    </dxf>
    <dxf>
      <fill>
        <patternFill>
          <bgColor rgb="FF00E668"/>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
      <font>
        <b/>
        <i val="0"/>
        <strike val="0"/>
        <color rgb="FF00B050"/>
      </font>
      <fill>
        <patternFill patternType="none">
          <bgColor auto="1"/>
        </patternFill>
      </fill>
    </dxf>
  </dxfs>
  <tableStyles count="0" defaultTableStyle="TableStyleMedium2" defaultPivotStyle="PivotStyleLight16"/>
  <colors>
    <mruColors>
      <color rgb="FFFF7171"/>
      <color rgb="FFF1A983"/>
      <color rgb="FFF7C7AC"/>
      <color rgb="FFBAE18F"/>
      <color rgb="FF00E668"/>
      <color rgb="FFCEEAB0"/>
      <color rgb="FF00EA6A"/>
      <color rgb="FFE4DFA0"/>
      <color rgb="FFFF6D6D"/>
      <color rgb="FFFFFF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xdr:col>
      <xdr:colOff>0</xdr:colOff>
      <xdr:row>3</xdr:row>
      <xdr:rowOff>0</xdr:rowOff>
    </xdr:from>
    <xdr:to>
      <xdr:col>4</xdr:col>
      <xdr:colOff>0</xdr:colOff>
      <xdr:row>48</xdr:row>
      <xdr:rowOff>0</xdr:rowOff>
    </xdr:to>
    <xdr:cxnSp macro="">
      <xdr:nvCxnSpPr>
        <xdr:cNvPr id="2" name="Straight Connector 1">
          <a:extLst>
            <a:ext uri="{FF2B5EF4-FFF2-40B4-BE49-F238E27FC236}">
              <a16:creationId xmlns:a16="http://schemas.microsoft.com/office/drawing/2014/main" id="{0B8CB517-14C0-42D3-8711-344D3DE861C0}"/>
            </a:ext>
          </a:extLst>
        </xdr:cNvPr>
        <xdr:cNvCxnSpPr/>
      </xdr:nvCxnSpPr>
      <xdr:spPr>
        <a:xfrm>
          <a:off x="2990850" y="581025"/>
          <a:ext cx="0" cy="8181975"/>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0</xdr:rowOff>
    </xdr:from>
    <xdr:ext cx="1418105" cy="625620"/>
    <xdr:pic>
      <xdr:nvPicPr>
        <xdr:cNvPr id="4" name="Picture 3">
          <a:extLst>
            <a:ext uri="{FF2B5EF4-FFF2-40B4-BE49-F238E27FC236}">
              <a16:creationId xmlns:a16="http://schemas.microsoft.com/office/drawing/2014/main" id="{F551377B-9EC9-4DCD-97B7-700DFFFFF5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391583"/>
          <a:ext cx="1418105" cy="62562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2409264</xdr:colOff>
      <xdr:row>1</xdr:row>
      <xdr:rowOff>134470</xdr:rowOff>
    </xdr:from>
    <xdr:to>
      <xdr:col>12</xdr:col>
      <xdr:colOff>1065119</xdr:colOff>
      <xdr:row>4</xdr:row>
      <xdr:rowOff>9996</xdr:rowOff>
    </xdr:to>
    <xdr:pic>
      <xdr:nvPicPr>
        <xdr:cNvPr id="5" name="Picture 2">
          <a:extLst>
            <a:ext uri="{FF2B5EF4-FFF2-40B4-BE49-F238E27FC236}">
              <a16:creationId xmlns:a16="http://schemas.microsoft.com/office/drawing/2014/main" id="{16DF1B46-2EFA-4378-B95F-16AF2CB861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25499" y="313764"/>
          <a:ext cx="1423708" cy="6263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pecs_Template_V1.13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Contacts_Log"/>
      <sheetName val="Cover"/>
      <sheetName val="GenInfo+Contacts"/>
      <sheetName val="Template"/>
      <sheetName val="TEMP_DE"/>
    </sheetNames>
    <sheetDataSet>
      <sheetData sheetId="0">
        <row r="2">
          <cell r="B2" t="str">
            <v>PRJ Name</v>
          </cell>
        </row>
        <row r="4">
          <cell r="B4" t="str">
            <v>PRJ Phase</v>
          </cell>
        </row>
        <row r="5">
          <cell r="B5" t="str">
            <v>PRJ Number</v>
          </cell>
        </row>
        <row r="11">
          <cell r="A11" t="str">
            <v>LC-01</v>
          </cell>
          <cell r="B11" t="str">
            <v>Surface mounted circular luminaire</v>
          </cell>
          <cell r="C11" t="str">
            <v>Bega</v>
          </cell>
          <cell r="D11">
            <v>1307</v>
          </cell>
          <cell r="E11" t="str">
            <v>Surface</v>
          </cell>
          <cell r="F11">
            <v>54</v>
          </cell>
          <cell r="G11">
            <v>5</v>
          </cell>
          <cell r="H11">
            <v>1000</v>
          </cell>
          <cell r="I11" t="str">
            <v>L90B10</v>
          </cell>
          <cell r="J11" t="str">
            <v>Direct</v>
          </cell>
          <cell r="K11" t="str">
            <v>Lens, track adapter</v>
          </cell>
          <cell r="L11" t="str">
            <v>LED</v>
          </cell>
          <cell r="M11">
            <v>2700</v>
          </cell>
          <cell r="N11">
            <v>3</v>
          </cell>
          <cell r="O11">
            <v>25</v>
          </cell>
          <cell r="P11">
            <v>1200</v>
          </cell>
          <cell r="Q11">
            <v>25</v>
          </cell>
          <cell r="R11" t="str">
            <v>Remote</v>
          </cell>
          <cell r="S11" t="str">
            <v>DALI</v>
          </cell>
          <cell r="T11">
            <v>120</v>
          </cell>
          <cell r="U11">
            <v>0.5</v>
          </cell>
          <cell r="V11" t="str">
            <v>LC-01_image.jpg</v>
          </cell>
          <cell r="W11" t="str">
            <v>LC-01_polar.jpg</v>
          </cell>
          <cell r="X11" t="str">
            <v>LC-01_dimensions.jpg</v>
          </cell>
          <cell r="Y11" t="str">
            <v>LC-01_other.jpg</v>
          </cell>
          <cell r="Z11" t="str">
            <v>Location: WC</v>
          </cell>
          <cell r="AA11" t="str">
            <v xml:space="preserve">1. Exposed conduits for wiring, 
2. Conduits painted in yellow (RAL TBC) </v>
          </cell>
        </row>
        <row r="12">
          <cell r="A12" t="str">
            <v>LC-02</v>
          </cell>
          <cell r="B12" t="str">
            <v>Ceiling recessed luminaire</v>
          </cell>
          <cell r="C12" t="str">
            <v>iGuzzini</v>
          </cell>
          <cell r="D12" t="str">
            <v>Isola</v>
          </cell>
          <cell r="E12" t="str">
            <v>Recessed</v>
          </cell>
          <cell r="F12">
            <v>20</v>
          </cell>
          <cell r="G12" t="str">
            <v>N/A</v>
          </cell>
          <cell r="H12">
            <v>50000</v>
          </cell>
          <cell r="I12" t="str">
            <v>L80B20</v>
          </cell>
          <cell r="J12" t="str">
            <v>Diffuse</v>
          </cell>
          <cell r="K12" t="str">
            <v>N/A</v>
          </cell>
          <cell r="L12" t="str">
            <v>LED</v>
          </cell>
          <cell r="M12">
            <v>4000</v>
          </cell>
          <cell r="N12">
            <v>2</v>
          </cell>
          <cell r="O12">
            <v>80</v>
          </cell>
          <cell r="P12">
            <v>1500</v>
          </cell>
          <cell r="Q12">
            <v>30</v>
          </cell>
          <cell r="R12" t="str">
            <v>Integral</v>
          </cell>
          <cell r="S12" t="str">
            <v>DALI</v>
          </cell>
          <cell r="T12">
            <v>230</v>
          </cell>
          <cell r="U12">
            <v>0.75</v>
          </cell>
          <cell r="V12" t="str">
            <v>LC-02_image.jpg</v>
          </cell>
          <cell r="W12" t="str">
            <v>LC-02_polar.jpg</v>
          </cell>
          <cell r="X12" t="str">
            <v>LC-02_dimensions.jpg</v>
          </cell>
          <cell r="Y12" t="str">
            <v>LC-02_other.jpg</v>
          </cell>
          <cell r="Z12" t="str">
            <v>Location: meeting rooms</v>
          </cell>
          <cell r="AA12" t="str">
            <v>1. Recess into plaster board ceiling</v>
          </cell>
        </row>
        <row r="13">
          <cell r="A13" t="str">
            <v>LC-03</v>
          </cell>
          <cell r="B13" t="str">
            <v>Ceiling recessed continuous luminaire</v>
          </cell>
          <cell r="C13" t="str">
            <v>Zumtobel</v>
          </cell>
          <cell r="D13" t="str">
            <v>Slotlight</v>
          </cell>
          <cell r="E13" t="str">
            <v>Recessed</v>
          </cell>
          <cell r="F13">
            <v>20</v>
          </cell>
          <cell r="G13" t="str">
            <v>N/A</v>
          </cell>
          <cell r="H13">
            <v>60000</v>
          </cell>
          <cell r="I13" t="str">
            <v>L70B50</v>
          </cell>
          <cell r="J13" t="str">
            <v>Diffuse</v>
          </cell>
          <cell r="K13" t="str">
            <v>N/A</v>
          </cell>
          <cell r="L13" t="str">
            <v>LED</v>
          </cell>
          <cell r="M13">
            <v>3000</v>
          </cell>
          <cell r="N13">
            <v>2</v>
          </cell>
          <cell r="O13">
            <v>90</v>
          </cell>
          <cell r="P13">
            <v>3500</v>
          </cell>
          <cell r="Q13">
            <v>45</v>
          </cell>
          <cell r="R13" t="str">
            <v>Remote</v>
          </cell>
          <cell r="S13" t="str">
            <v>DALI</v>
          </cell>
          <cell r="T13">
            <v>230</v>
          </cell>
          <cell r="U13">
            <v>1.2</v>
          </cell>
          <cell r="V13" t="str">
            <v>LC-03_image.jpg</v>
          </cell>
          <cell r="W13" t="str">
            <v>LC-03_polar.jpg</v>
          </cell>
          <cell r="X13" t="str">
            <v>LC-03_dimensions.jpg</v>
          </cell>
          <cell r="Y13" t="str">
            <v>LC-03_other.jpg</v>
          </cell>
          <cell r="Z13" t="str">
            <v>Location: Corridors</v>
          </cell>
          <cell r="AA13" t="str">
            <v>1. Lines of communication, 
2. Recess into 3 different ceiling types, 
3. Ceiling types: plaster board, streched metal and wall (plaster board)</v>
          </cell>
        </row>
        <row r="14">
          <cell r="A14" t="str">
            <v>LC-04</v>
          </cell>
          <cell r="B14" t="str">
            <v>Ceiling recessed circular downlight</v>
          </cell>
          <cell r="C14" t="str">
            <v>iGuzzini</v>
          </cell>
          <cell r="D14" t="str">
            <v>Laser Blade-R</v>
          </cell>
          <cell r="E14" t="str">
            <v>Recessed</v>
          </cell>
          <cell r="F14">
            <v>54</v>
          </cell>
          <cell r="G14">
            <v>4</v>
          </cell>
          <cell r="H14">
            <v>50000</v>
          </cell>
          <cell r="I14" t="str">
            <v>L80B10</v>
          </cell>
          <cell r="J14" t="str">
            <v>Direct</v>
          </cell>
          <cell r="K14" t="str">
            <v>Speaker</v>
          </cell>
          <cell r="L14" t="str">
            <v>LED</v>
          </cell>
          <cell r="M14">
            <v>5000</v>
          </cell>
          <cell r="N14">
            <v>3</v>
          </cell>
          <cell r="O14">
            <v>80</v>
          </cell>
          <cell r="P14">
            <v>12350</v>
          </cell>
          <cell r="Q14">
            <v>32</v>
          </cell>
          <cell r="R14" t="str">
            <v>Remote</v>
          </cell>
          <cell r="S14" t="str">
            <v>DALI</v>
          </cell>
          <cell r="T14">
            <v>48</v>
          </cell>
          <cell r="U14">
            <v>0.45</v>
          </cell>
          <cell r="V14" t="str">
            <v>LC-04_image.jpg</v>
          </cell>
          <cell r="W14" t="str">
            <v>LC-04_polar.jpg</v>
          </cell>
          <cell r="X14" t="str">
            <v>LC-04_dimensions.jpg</v>
          </cell>
          <cell r="Y14" t="str">
            <v>LC-04_other.jpg</v>
          </cell>
          <cell r="Z14" t="str">
            <v>Location: meeting rooms</v>
          </cell>
          <cell r="AA14" t="str">
            <v>1. Recess into plaster board ceiling</v>
          </cell>
        </row>
        <row r="15">
          <cell r="A15" t="str">
            <v>LJ-01</v>
          </cell>
          <cell r="B15" t="str">
            <v>Table light</v>
          </cell>
          <cell r="C15" t="str">
            <v>Prolicht</v>
          </cell>
          <cell r="D15" t="str">
            <v>cool one</v>
          </cell>
          <cell r="E15" t="str">
            <v>Furniture</v>
          </cell>
          <cell r="F15">
            <v>20</v>
          </cell>
          <cell r="G15">
            <v>3</v>
          </cell>
          <cell r="H15">
            <v>25000</v>
          </cell>
          <cell r="I15" t="str">
            <v>L80B10</v>
          </cell>
          <cell r="J15" t="str">
            <v>Direct</v>
          </cell>
          <cell r="K15" t="str">
            <v>N/A</v>
          </cell>
          <cell r="L15" t="str">
            <v>LED</v>
          </cell>
          <cell r="M15">
            <v>3500</v>
          </cell>
          <cell r="N15">
            <v>3</v>
          </cell>
          <cell r="O15">
            <v>80</v>
          </cell>
          <cell r="P15">
            <v>1200</v>
          </cell>
          <cell r="Q15">
            <v>25</v>
          </cell>
          <cell r="R15" t="str">
            <v>N/A</v>
          </cell>
          <cell r="S15" t="str">
            <v>Switch</v>
          </cell>
          <cell r="T15">
            <v>230</v>
          </cell>
          <cell r="U15">
            <v>1.2</v>
          </cell>
          <cell r="V15" t="str">
            <v>LJ-01_image.jpg</v>
          </cell>
          <cell r="W15" t="str">
            <v>LJ-01_polar.jpg</v>
          </cell>
          <cell r="X15" t="str">
            <v>LJ-01_dimensions.jpg</v>
          </cell>
          <cell r="Y15" t="str">
            <v>LJ-01_other.jpg</v>
          </cell>
          <cell r="Z15" t="str">
            <v>Location: study rooms</v>
          </cell>
          <cell r="AA15" t="str">
            <v>1. Power socket provided above table, 
2. Cable to be black finish, 
3. Luminaire adjustable to user's needs</v>
          </cell>
        </row>
        <row r="16">
          <cell r="V16" t="str">
            <v>_image.jpg</v>
          </cell>
          <cell r="W16" t="str">
            <v>_polar.jpg</v>
          </cell>
          <cell r="X16" t="str">
            <v>_dimensions.jpg</v>
          </cell>
          <cell r="Y16" t="str">
            <v>_other.jpg</v>
          </cell>
        </row>
        <row r="29">
          <cell r="V29" t="str">
            <v>_blank.jpg</v>
          </cell>
          <cell r="W29" t="str">
            <v>_blank.jpg</v>
          </cell>
          <cell r="X29" t="str">
            <v>_blank.jpg</v>
          </cell>
          <cell r="Y29" t="str">
            <v>_blank.jpg</v>
          </cell>
        </row>
        <row r="30">
          <cell r="V30" t="str">
            <v>_no-image.jpg</v>
          </cell>
          <cell r="W30" t="str">
            <v>_no-image.jpg</v>
          </cell>
          <cell r="X30" t="str">
            <v>_no-image.jpg</v>
          </cell>
          <cell r="Y30" t="str">
            <v>_no-image.jpg</v>
          </cell>
        </row>
      </sheetData>
      <sheetData sheetId="1" refreshError="1"/>
      <sheetData sheetId="2" refreshError="1"/>
      <sheetData sheetId="3" refreshError="1"/>
      <sheetData sheetId="4">
        <row r="45">
          <cell r="F45" t="str">
            <v>LC-02</v>
          </cell>
        </row>
      </sheetData>
      <sheetData sheetId="5"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sa@focus-lighting.de" TargetMode="External"/><Relationship Id="rId18" Type="http://schemas.openxmlformats.org/officeDocument/2006/relationships/hyperlink" Target="http://www.xal.com/" TargetMode="External"/><Relationship Id="rId26" Type="http://schemas.openxmlformats.org/officeDocument/2006/relationships/hyperlink" Target="https://eur02.safelinks.protection.outlook.com/?url=http%3A%2F%2Fwww.rentex-systeme.de%2F&amp;data=05%7C01%7CNils.Voerste%40BuroHappold.com%7C8b10382b699b4ff8495908db891f271e%7C50ee6418869e48f5a9823607fcee1e1d%7C0%7C0%7C638254540752382345%7CUnknown%7CTWFpbGZsb3d8eyJWIjoiMC4wLjAwMDAiLCJQIjoiV2luMzIiLCJBTiI6Ik1haWwiLCJXVCI6Mn0%3D%7C3000%7C%7C%7C&amp;sdata=cfxzJiQRjJdmbc0h2NWt7MxROyJ0XloCiID0UJtQE18%3D&amp;reserved=0" TargetMode="External"/><Relationship Id="rId39" Type="http://schemas.openxmlformats.org/officeDocument/2006/relationships/hyperlink" Target="http://www.we-ef.com/" TargetMode="External"/><Relationship Id="rId21" Type="http://schemas.openxmlformats.org/officeDocument/2006/relationships/hyperlink" Target="http://www.trilux.com/" TargetMode="External"/><Relationship Id="rId34" Type="http://schemas.openxmlformats.org/officeDocument/2006/relationships/hyperlink" Target="http://www.baulmann.com/" TargetMode="External"/><Relationship Id="rId42" Type="http://schemas.openxmlformats.org/officeDocument/2006/relationships/hyperlink" Target="http://www.barthelme.de/" TargetMode="External"/><Relationship Id="rId7" Type="http://schemas.openxmlformats.org/officeDocument/2006/relationships/hyperlink" Target="mailto:marco.grosse@ribag.com" TargetMode="External"/><Relationship Id="rId2" Type="http://schemas.openxmlformats.org/officeDocument/2006/relationships/hyperlink" Target="mailto:smau@artemide.de" TargetMode="External"/><Relationship Id="rId16" Type="http://schemas.openxmlformats.org/officeDocument/2006/relationships/hyperlink" Target="mailto:t.meier@baulmann.com" TargetMode="External"/><Relationship Id="rId20" Type="http://schemas.openxmlformats.org/officeDocument/2006/relationships/hyperlink" Target="http://www.we-ef.com/" TargetMode="External"/><Relationship Id="rId29" Type="http://schemas.openxmlformats.org/officeDocument/2006/relationships/hyperlink" Target="http://www.doellken-lighting.com/" TargetMode="External"/><Relationship Id="rId41" Type="http://schemas.openxmlformats.org/officeDocument/2006/relationships/hyperlink" Target="http://www.xal.com/" TargetMode="External"/><Relationship Id="rId1" Type="http://schemas.openxmlformats.org/officeDocument/2006/relationships/hyperlink" Target="mailto:m.klemz@barthelme.de" TargetMode="External"/><Relationship Id="rId6" Type="http://schemas.openxmlformats.org/officeDocument/2006/relationships/hyperlink" Target="mailto:christoph.gassel@exceedation.com" TargetMode="External"/><Relationship Id="rId11" Type="http://schemas.openxmlformats.org/officeDocument/2006/relationships/hyperlink" Target="mailto:enriko.kirschner@iguzzini.com" TargetMode="External"/><Relationship Id="rId24" Type="http://schemas.openxmlformats.org/officeDocument/2006/relationships/hyperlink" Target="http://www.bega.com/" TargetMode="External"/><Relationship Id="rId32" Type="http://schemas.openxmlformats.org/officeDocument/2006/relationships/hyperlink" Target="http://www.flos.com/" TargetMode="External"/><Relationship Id="rId37" Type="http://schemas.openxmlformats.org/officeDocument/2006/relationships/hyperlink" Target="http://www.ribag.de/" TargetMode="External"/><Relationship Id="rId40" Type="http://schemas.openxmlformats.org/officeDocument/2006/relationships/hyperlink" Target="http://www.weverducre.com/" TargetMode="External"/><Relationship Id="rId5" Type="http://schemas.openxmlformats.org/officeDocument/2006/relationships/hyperlink" Target="mailto:frank.hinz@trilux.com" TargetMode="External"/><Relationship Id="rId15" Type="http://schemas.openxmlformats.org/officeDocument/2006/relationships/hyperlink" Target="mailto:service@bega.de" TargetMode="External"/><Relationship Id="rId23" Type="http://schemas.openxmlformats.org/officeDocument/2006/relationships/hyperlink" Target="http://www.regianni.net/" TargetMode="External"/><Relationship Id="rId28" Type="http://schemas.openxmlformats.org/officeDocument/2006/relationships/hyperlink" Target="http://www.iguzzini.com/" TargetMode="External"/><Relationship Id="rId36" Type="http://schemas.openxmlformats.org/officeDocument/2006/relationships/hyperlink" Target="http://www.regianni.net/" TargetMode="External"/><Relationship Id="rId10" Type="http://schemas.openxmlformats.org/officeDocument/2006/relationships/hyperlink" Target="mailto:c.krauss@instalighting.de" TargetMode="External"/><Relationship Id="rId19" Type="http://schemas.openxmlformats.org/officeDocument/2006/relationships/hyperlink" Target="http://www.weverducre.com/" TargetMode="External"/><Relationship Id="rId31" Type="http://schemas.openxmlformats.org/officeDocument/2006/relationships/hyperlink" Target="http://www.iguzzini.com/" TargetMode="External"/><Relationship Id="rId4" Type="http://schemas.openxmlformats.org/officeDocument/2006/relationships/hyperlink" Target="mailto:Holger.Bruns@weverducre.com" TargetMode="External"/><Relationship Id="rId9" Type="http://schemas.openxmlformats.org/officeDocument/2006/relationships/hyperlink" Target="mailto:bastian.z@reggiani.net" TargetMode="External"/><Relationship Id="rId14" Type="http://schemas.openxmlformats.org/officeDocument/2006/relationships/hyperlink" Target="mailto:julia.manasse@doellken-lighting.com" TargetMode="External"/><Relationship Id="rId22" Type="http://schemas.openxmlformats.org/officeDocument/2006/relationships/hyperlink" Target="http://www.ribag.de/" TargetMode="External"/><Relationship Id="rId27" Type="http://schemas.openxmlformats.org/officeDocument/2006/relationships/hyperlink" Target="http://www.flos.com/" TargetMode="External"/><Relationship Id="rId30" Type="http://schemas.openxmlformats.org/officeDocument/2006/relationships/hyperlink" Target="http://www.doellken-lighting.com/" TargetMode="External"/><Relationship Id="rId35" Type="http://schemas.openxmlformats.org/officeDocument/2006/relationships/hyperlink" Target="http://www.bega.com/" TargetMode="External"/><Relationship Id="rId43" Type="http://schemas.openxmlformats.org/officeDocument/2006/relationships/printerSettings" Target="../printerSettings/printerSettings3.bin"/><Relationship Id="rId8" Type="http://schemas.openxmlformats.org/officeDocument/2006/relationships/hyperlink" Target="mailto:julio.rocha@rentex-systeme.de" TargetMode="External"/><Relationship Id="rId3" Type="http://schemas.openxmlformats.org/officeDocument/2006/relationships/hyperlink" Target="mailto:Rainer.Kneifel@xal.com" TargetMode="External"/><Relationship Id="rId12" Type="http://schemas.openxmlformats.org/officeDocument/2006/relationships/hyperlink" Target="mailto:jens.pilchowski@flos.com" TargetMode="External"/><Relationship Id="rId17" Type="http://schemas.openxmlformats.org/officeDocument/2006/relationships/hyperlink" Target="http://www.barthelme.de/" TargetMode="External"/><Relationship Id="rId25" Type="http://schemas.openxmlformats.org/officeDocument/2006/relationships/hyperlink" Target="http://www.baulmann.com/" TargetMode="External"/><Relationship Id="rId33" Type="http://schemas.openxmlformats.org/officeDocument/2006/relationships/hyperlink" Target="https://eur02.safelinks.protection.outlook.com/?url=http%3A%2F%2Fwww.rentex-systeme.de%2F&amp;data=05%7C01%7CNils.Voerste%40BuroHappold.com%7C8b10382b699b4ff8495908db891f271e%7C50ee6418869e48f5a9823607fcee1e1d%7C0%7C0%7C638254540752382345%7CUnknown%7CTWFpbGZsb3d8eyJWIjoiMC4wLjAwMDAiLCJQIjoiV2luMzIiLCJBTiI6Ik1haWwiLCJXVCI6Mn0%3D%7C3000%7C%7C%7C&amp;sdata=cfxzJiQRjJdmbc0h2NWt7MxROyJ0XloCiID0UJtQE18%3D&amp;reserved=0" TargetMode="External"/><Relationship Id="rId38" Type="http://schemas.openxmlformats.org/officeDocument/2006/relationships/hyperlink" Target="http://www.trilux.co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shop.ledvance.com/products/osram-led-pin-g9-dim-led-lampe-g9-dimmbar-4-40-w-40-w-ersatz-fur-klar-warm-white-2700-k?srsltid=AfmBOoqVcdq9OzdqabWS8IoI4aZoOObJD4OuingkPRieu4v-2UFI5Ttr" TargetMode="External"/><Relationship Id="rId1" Type="http://schemas.openxmlformats.org/officeDocument/2006/relationships/hyperlink" Target="https://www.ledvance.com/en-int/professional-lighting/products/lamps/led-tubes/ledvance-led-tubes/led-replacement-for-t5-fl-g5-bases/led-tubes-for-electronic-high-frequency-control-gears-c245161?productId=229938" TargetMode="Externa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ledvance.com/en-int/professional-lighting/products/lamps/led-tubes/ledvance-led-tubes/led-replacement-for-t5-fl-g5-bases/led-tubes-for-electronic-high-frequency-control-gears-c245161?productId=229938" TargetMode="External"/><Relationship Id="rId2" Type="http://schemas.openxmlformats.org/officeDocument/2006/relationships/hyperlink" Target="https://www.hera-shop.com/produkte/ein-und-anbauleuchten/flache-metall-einbauleuchte-eckig-faq-68-led-4w-xw-edelstahloptik-20203188004" TargetMode="External"/><Relationship Id="rId1" Type="http://schemas.openxmlformats.org/officeDocument/2006/relationships/hyperlink" Target="https://www.ledvance.com/en-int/professional-lighting/products/lamps/led-tubes/ledvance-led-tubes/led-replacement-for-t5-fl-g5-bases/led-tubes-for-electronic-high-frequency-control-gears-c245161?productId=229938" TargetMode="External"/><Relationship Id="rId6" Type="http://schemas.openxmlformats.org/officeDocument/2006/relationships/drawing" Target="../drawings/drawing3.xml"/><Relationship Id="rId5" Type="http://schemas.openxmlformats.org/officeDocument/2006/relationships/printerSettings" Target="../printerSettings/printerSettings5.bin"/><Relationship Id="rId4" Type="http://schemas.openxmlformats.org/officeDocument/2006/relationships/hyperlink" Target="https://www.ledvance.com/en-int/professional-lighting/products/lamps/led-tubes/ledvance-led-tubes/led-replacement-for-t5-fl-g5-bases/led-tubes-for-electronic-high-frequency-control-gears-c245161?productId=2299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C92A5-521D-47E7-BCE1-1E94AEB2D630}">
  <sheetPr codeName="Sheet4">
    <tabColor theme="5"/>
  </sheetPr>
  <dimension ref="A2:S48"/>
  <sheetViews>
    <sheetView view="pageLayout" topLeftCell="A9" zoomScaleNormal="85" workbookViewId="0">
      <selection activeCell="A9" sqref="A9:S41"/>
    </sheetView>
  </sheetViews>
  <sheetFormatPr defaultColWidth="9.140625" defaultRowHeight="14.25" x14ac:dyDescent="0.25"/>
  <cols>
    <col min="1" max="1" width="21.140625" customWidth="1"/>
    <col min="2" max="2" width="8.85546875" customWidth="1"/>
    <col min="3" max="3" width="4.7109375" customWidth="1"/>
    <col min="4" max="4" width="9.28515625" customWidth="1"/>
    <col min="5" max="5" width="23.28515625" customWidth="1"/>
    <col min="6" max="6" width="9.140625" customWidth="1"/>
    <col min="7" max="7" width="15.28515625" customWidth="1"/>
  </cols>
  <sheetData>
    <row r="2" spans="1:19" x14ac:dyDescent="0.25">
      <c r="A2" s="1"/>
    </row>
    <row r="4" spans="1:19" x14ac:dyDescent="0.25">
      <c r="A4" s="134"/>
      <c r="B4" s="135"/>
      <c r="C4" s="135"/>
      <c r="D4" s="135"/>
      <c r="E4" s="134"/>
    </row>
    <row r="5" spans="1:19" x14ac:dyDescent="0.25">
      <c r="A5" s="134"/>
      <c r="B5" s="135"/>
      <c r="C5" s="135"/>
      <c r="D5" s="135"/>
      <c r="E5" s="136"/>
    </row>
    <row r="6" spans="1:19" x14ac:dyDescent="0.25">
      <c r="A6" s="134"/>
      <c r="B6" s="135"/>
      <c r="C6" s="135"/>
      <c r="D6" s="135"/>
      <c r="E6" s="134"/>
    </row>
    <row r="7" spans="1:19" ht="26.25" x14ac:dyDescent="0.45">
      <c r="A7" s="163" t="s">
        <v>444</v>
      </c>
      <c r="B7" s="138"/>
      <c r="C7" s="139"/>
      <c r="D7" s="138"/>
      <c r="E7" s="134"/>
    </row>
    <row r="8" spans="1:19" x14ac:dyDescent="0.25">
      <c r="A8" s="134"/>
      <c r="B8" s="135"/>
      <c r="C8" s="135"/>
      <c r="D8" s="135"/>
      <c r="E8" s="134"/>
    </row>
    <row r="9" spans="1:19" ht="14.25" customHeight="1" x14ac:dyDescent="0.25">
      <c r="A9" s="180" t="e" vm="1">
        <v>#VALUE!</v>
      </c>
      <c r="B9" s="180"/>
      <c r="C9" s="180"/>
      <c r="D9" s="180"/>
      <c r="E9" s="180"/>
      <c r="F9" s="180"/>
      <c r="G9" s="180"/>
      <c r="H9" s="180"/>
      <c r="I9" s="180"/>
      <c r="J9" s="180"/>
      <c r="K9" s="180"/>
      <c r="L9" s="180"/>
      <c r="M9" s="180"/>
      <c r="N9" s="180"/>
      <c r="O9" s="180"/>
      <c r="P9" s="180"/>
      <c r="Q9" s="180"/>
      <c r="R9" s="180"/>
      <c r="S9" s="180"/>
    </row>
    <row r="10" spans="1:19" ht="14.25" customHeight="1" x14ac:dyDescent="0.25">
      <c r="A10" s="180"/>
      <c r="B10" s="180"/>
      <c r="C10" s="180"/>
      <c r="D10" s="180"/>
      <c r="E10" s="180"/>
      <c r="F10" s="180"/>
      <c r="G10" s="180"/>
      <c r="H10" s="180"/>
      <c r="I10" s="180"/>
      <c r="J10" s="180"/>
      <c r="K10" s="180"/>
      <c r="L10" s="180"/>
      <c r="M10" s="180"/>
      <c r="N10" s="180"/>
      <c r="O10" s="180"/>
      <c r="P10" s="180"/>
      <c r="Q10" s="180"/>
      <c r="R10" s="180"/>
      <c r="S10" s="180"/>
    </row>
    <row r="11" spans="1:19" ht="14.25" customHeight="1" x14ac:dyDescent="0.25">
      <c r="A11" s="180"/>
      <c r="B11" s="180"/>
      <c r="C11" s="180"/>
      <c r="D11" s="180"/>
      <c r="E11" s="180"/>
      <c r="F11" s="180"/>
      <c r="G11" s="180"/>
      <c r="H11" s="180"/>
      <c r="I11" s="180"/>
      <c r="J11" s="180"/>
      <c r="K11" s="180"/>
      <c r="L11" s="180"/>
      <c r="M11" s="180"/>
      <c r="N11" s="180"/>
      <c r="O11" s="180"/>
      <c r="P11" s="180"/>
      <c r="Q11" s="180"/>
      <c r="R11" s="180"/>
      <c r="S11" s="180"/>
    </row>
    <row r="12" spans="1:19" ht="14.25" customHeight="1" x14ac:dyDescent="0.25">
      <c r="A12" s="180"/>
      <c r="B12" s="180"/>
      <c r="C12" s="180"/>
      <c r="D12" s="180"/>
      <c r="E12" s="180"/>
      <c r="F12" s="180"/>
      <c r="G12" s="180"/>
      <c r="H12" s="180"/>
      <c r="I12" s="180"/>
      <c r="J12" s="180"/>
      <c r="K12" s="180"/>
      <c r="L12" s="180"/>
      <c r="M12" s="180"/>
      <c r="N12" s="180"/>
      <c r="O12" s="180"/>
      <c r="P12" s="180"/>
      <c r="Q12" s="180"/>
      <c r="R12" s="180"/>
      <c r="S12" s="180"/>
    </row>
    <row r="13" spans="1:19" ht="14.25" customHeight="1" x14ac:dyDescent="0.25">
      <c r="A13" s="180"/>
      <c r="B13" s="180"/>
      <c r="C13" s="180"/>
      <c r="D13" s="180"/>
      <c r="E13" s="180"/>
      <c r="F13" s="180"/>
      <c r="G13" s="180"/>
      <c r="H13" s="180"/>
      <c r="I13" s="180"/>
      <c r="J13" s="180"/>
      <c r="K13" s="180"/>
      <c r="L13" s="180"/>
      <c r="M13" s="180"/>
      <c r="N13" s="180"/>
      <c r="O13" s="180"/>
      <c r="P13" s="180"/>
      <c r="Q13" s="180"/>
      <c r="R13" s="180"/>
      <c r="S13" s="180"/>
    </row>
    <row r="14" spans="1:19" ht="14.25" customHeight="1" x14ac:dyDescent="0.25">
      <c r="A14" s="180"/>
      <c r="B14" s="180"/>
      <c r="C14" s="180"/>
      <c r="D14" s="180"/>
      <c r="E14" s="180"/>
      <c r="F14" s="180"/>
      <c r="G14" s="180"/>
      <c r="H14" s="180"/>
      <c r="I14" s="180"/>
      <c r="J14" s="180"/>
      <c r="K14" s="180"/>
      <c r="L14" s="180"/>
      <c r="M14" s="180"/>
      <c r="N14" s="180"/>
      <c r="O14" s="180"/>
      <c r="P14" s="180"/>
      <c r="Q14" s="180"/>
      <c r="R14" s="180"/>
      <c r="S14" s="180"/>
    </row>
    <row r="15" spans="1:19" ht="14.25" customHeight="1" x14ac:dyDescent="0.25">
      <c r="A15" s="180"/>
      <c r="B15" s="180"/>
      <c r="C15" s="180"/>
      <c r="D15" s="180"/>
      <c r="E15" s="180"/>
      <c r="F15" s="180"/>
      <c r="G15" s="180"/>
      <c r="H15" s="180"/>
      <c r="I15" s="180"/>
      <c r="J15" s="180"/>
      <c r="K15" s="180"/>
      <c r="L15" s="180"/>
      <c r="M15" s="180"/>
      <c r="N15" s="180"/>
      <c r="O15" s="180"/>
      <c r="P15" s="180"/>
      <c r="Q15" s="180"/>
      <c r="R15" s="180"/>
      <c r="S15" s="180"/>
    </row>
    <row r="16" spans="1:19" ht="14.25" customHeight="1" x14ac:dyDescent="0.25">
      <c r="A16" s="180"/>
      <c r="B16" s="180"/>
      <c r="C16" s="180"/>
      <c r="D16" s="180"/>
      <c r="E16" s="180"/>
      <c r="F16" s="180"/>
      <c r="G16" s="180"/>
      <c r="H16" s="180"/>
      <c r="I16" s="180"/>
      <c r="J16" s="180"/>
      <c r="K16" s="180"/>
      <c r="L16" s="180"/>
      <c r="M16" s="180"/>
      <c r="N16" s="180"/>
      <c r="O16" s="180"/>
      <c r="P16" s="180"/>
      <c r="Q16" s="180"/>
      <c r="R16" s="180"/>
      <c r="S16" s="180"/>
    </row>
    <row r="17" spans="1:19" ht="14.25" customHeight="1" x14ac:dyDescent="0.25">
      <c r="A17" s="180"/>
      <c r="B17" s="180"/>
      <c r="C17" s="180"/>
      <c r="D17" s="180"/>
      <c r="E17" s="180"/>
      <c r="F17" s="180"/>
      <c r="G17" s="180"/>
      <c r="H17" s="180"/>
      <c r="I17" s="180"/>
      <c r="J17" s="180"/>
      <c r="K17" s="180"/>
      <c r="L17" s="180"/>
      <c r="M17" s="180"/>
      <c r="N17" s="180"/>
      <c r="O17" s="180"/>
      <c r="P17" s="180"/>
      <c r="Q17" s="180"/>
      <c r="R17" s="180"/>
      <c r="S17" s="180"/>
    </row>
    <row r="18" spans="1:19" ht="14.25" customHeight="1" x14ac:dyDescent="0.25">
      <c r="A18" s="180"/>
      <c r="B18" s="180"/>
      <c r="C18" s="180"/>
      <c r="D18" s="180"/>
      <c r="E18" s="180"/>
      <c r="F18" s="180"/>
      <c r="G18" s="180"/>
      <c r="H18" s="180"/>
      <c r="I18" s="180"/>
      <c r="J18" s="180"/>
      <c r="K18" s="180"/>
      <c r="L18" s="180"/>
      <c r="M18" s="180"/>
      <c r="N18" s="180"/>
      <c r="O18" s="180"/>
      <c r="P18" s="180"/>
      <c r="Q18" s="180"/>
      <c r="R18" s="180"/>
      <c r="S18" s="180"/>
    </row>
    <row r="19" spans="1:19" ht="14.25" customHeight="1" x14ac:dyDescent="0.25">
      <c r="A19" s="180"/>
      <c r="B19" s="180"/>
      <c r="C19" s="180"/>
      <c r="D19" s="180"/>
      <c r="E19" s="180"/>
      <c r="F19" s="180"/>
      <c r="G19" s="180"/>
      <c r="H19" s="180"/>
      <c r="I19" s="180"/>
      <c r="J19" s="180"/>
      <c r="K19" s="180"/>
      <c r="L19" s="180"/>
      <c r="M19" s="180"/>
      <c r="N19" s="180"/>
      <c r="O19" s="180"/>
      <c r="P19" s="180"/>
      <c r="Q19" s="180"/>
      <c r="R19" s="180"/>
      <c r="S19" s="180"/>
    </row>
    <row r="20" spans="1:19" ht="14.25" customHeight="1" x14ac:dyDescent="0.25">
      <c r="A20" s="180"/>
      <c r="B20" s="180"/>
      <c r="C20" s="180"/>
      <c r="D20" s="180"/>
      <c r="E20" s="180"/>
      <c r="F20" s="180"/>
      <c r="G20" s="180"/>
      <c r="H20" s="180"/>
      <c r="I20" s="180"/>
      <c r="J20" s="180"/>
      <c r="K20" s="180"/>
      <c r="L20" s="180"/>
      <c r="M20" s="180"/>
      <c r="N20" s="180"/>
      <c r="O20" s="180"/>
      <c r="P20" s="180"/>
      <c r="Q20" s="180"/>
      <c r="R20" s="180"/>
      <c r="S20" s="180"/>
    </row>
    <row r="21" spans="1:19" ht="14.25" customHeight="1" x14ac:dyDescent="0.25">
      <c r="A21" s="180"/>
      <c r="B21" s="180"/>
      <c r="C21" s="180"/>
      <c r="D21" s="180"/>
      <c r="E21" s="180"/>
      <c r="F21" s="180"/>
      <c r="G21" s="180"/>
      <c r="H21" s="180"/>
      <c r="I21" s="180"/>
      <c r="J21" s="180"/>
      <c r="K21" s="180"/>
      <c r="L21" s="180"/>
      <c r="M21" s="180"/>
      <c r="N21" s="180"/>
      <c r="O21" s="180"/>
      <c r="P21" s="180"/>
      <c r="Q21" s="180"/>
      <c r="R21" s="180"/>
      <c r="S21" s="180"/>
    </row>
    <row r="22" spans="1:19" ht="14.25" customHeight="1" x14ac:dyDescent="0.25">
      <c r="A22" s="180"/>
      <c r="B22" s="180"/>
      <c r="C22" s="180"/>
      <c r="D22" s="180"/>
      <c r="E22" s="180"/>
      <c r="F22" s="180"/>
      <c r="G22" s="180"/>
      <c r="H22" s="180"/>
      <c r="I22" s="180"/>
      <c r="J22" s="180"/>
      <c r="K22" s="180"/>
      <c r="L22" s="180"/>
      <c r="M22" s="180"/>
      <c r="N22" s="180"/>
      <c r="O22" s="180"/>
      <c r="P22" s="180"/>
      <c r="Q22" s="180"/>
      <c r="R22" s="180"/>
      <c r="S22" s="180"/>
    </row>
    <row r="23" spans="1:19" ht="14.25" customHeight="1" x14ac:dyDescent="0.25">
      <c r="A23" s="180"/>
      <c r="B23" s="180"/>
      <c r="C23" s="180"/>
      <c r="D23" s="180"/>
      <c r="E23" s="180"/>
      <c r="F23" s="180"/>
      <c r="G23" s="180"/>
      <c r="H23" s="180"/>
      <c r="I23" s="180"/>
      <c r="J23" s="180"/>
      <c r="K23" s="180"/>
      <c r="L23" s="180"/>
      <c r="M23" s="180"/>
      <c r="N23" s="180"/>
      <c r="O23" s="180"/>
      <c r="P23" s="180"/>
      <c r="Q23" s="180"/>
      <c r="R23" s="180"/>
      <c r="S23" s="180"/>
    </row>
    <row r="24" spans="1:19" ht="14.25" customHeight="1" x14ac:dyDescent="0.25">
      <c r="A24" s="180"/>
      <c r="B24" s="180"/>
      <c r="C24" s="180"/>
      <c r="D24" s="180"/>
      <c r="E24" s="180"/>
      <c r="F24" s="180"/>
      <c r="G24" s="180"/>
      <c r="H24" s="180"/>
      <c r="I24" s="180"/>
      <c r="J24" s="180"/>
      <c r="K24" s="180"/>
      <c r="L24" s="180"/>
      <c r="M24" s="180"/>
      <c r="N24" s="180"/>
      <c r="O24" s="180"/>
      <c r="P24" s="180"/>
      <c r="Q24" s="180"/>
      <c r="R24" s="180"/>
      <c r="S24" s="180"/>
    </row>
    <row r="25" spans="1:19" ht="14.25" customHeight="1" x14ac:dyDescent="0.25">
      <c r="A25" s="180"/>
      <c r="B25" s="180"/>
      <c r="C25" s="180"/>
      <c r="D25" s="180"/>
      <c r="E25" s="180"/>
      <c r="F25" s="180"/>
      <c r="G25" s="180"/>
      <c r="H25" s="180"/>
      <c r="I25" s="180"/>
      <c r="J25" s="180"/>
      <c r="K25" s="180"/>
      <c r="L25" s="180"/>
      <c r="M25" s="180"/>
      <c r="N25" s="180"/>
      <c r="O25" s="180"/>
      <c r="P25" s="180"/>
      <c r="Q25" s="180"/>
      <c r="R25" s="180"/>
      <c r="S25" s="180"/>
    </row>
    <row r="26" spans="1:19" ht="14.25" customHeight="1" x14ac:dyDescent="0.25">
      <c r="A26" s="180"/>
      <c r="B26" s="180"/>
      <c r="C26" s="180"/>
      <c r="D26" s="180"/>
      <c r="E26" s="180"/>
      <c r="F26" s="180"/>
      <c r="G26" s="180"/>
      <c r="H26" s="180"/>
      <c r="I26" s="180"/>
      <c r="J26" s="180"/>
      <c r="K26" s="180"/>
      <c r="L26" s="180"/>
      <c r="M26" s="180"/>
      <c r="N26" s="180"/>
      <c r="O26" s="180"/>
      <c r="P26" s="180"/>
      <c r="Q26" s="180"/>
      <c r="R26" s="180"/>
      <c r="S26" s="180"/>
    </row>
    <row r="27" spans="1:19" ht="14.25" customHeight="1" x14ac:dyDescent="0.25">
      <c r="A27" s="180"/>
      <c r="B27" s="180"/>
      <c r="C27" s="180"/>
      <c r="D27" s="180"/>
      <c r="E27" s="180"/>
      <c r="F27" s="180"/>
      <c r="G27" s="180"/>
      <c r="H27" s="180"/>
      <c r="I27" s="180"/>
      <c r="J27" s="180"/>
      <c r="K27" s="180"/>
      <c r="L27" s="180"/>
      <c r="M27" s="180"/>
      <c r="N27" s="180"/>
      <c r="O27" s="180"/>
      <c r="P27" s="180"/>
      <c r="Q27" s="180"/>
      <c r="R27" s="180"/>
      <c r="S27" s="180"/>
    </row>
    <row r="28" spans="1:19" ht="14.25" customHeight="1" x14ac:dyDescent="0.25">
      <c r="A28" s="180"/>
      <c r="B28" s="180"/>
      <c r="C28" s="180"/>
      <c r="D28" s="180"/>
      <c r="E28" s="180"/>
      <c r="F28" s="180"/>
      <c r="G28" s="180"/>
      <c r="H28" s="180"/>
      <c r="I28" s="180"/>
      <c r="J28" s="180"/>
      <c r="K28" s="180"/>
      <c r="L28" s="180"/>
      <c r="M28" s="180"/>
      <c r="N28" s="180"/>
      <c r="O28" s="180"/>
      <c r="P28" s="180"/>
      <c r="Q28" s="180"/>
      <c r="R28" s="180"/>
      <c r="S28" s="180"/>
    </row>
    <row r="29" spans="1:19" ht="14.25" customHeight="1" x14ac:dyDescent="0.25">
      <c r="A29" s="180"/>
      <c r="B29" s="180"/>
      <c r="C29" s="180"/>
      <c r="D29" s="180"/>
      <c r="E29" s="180"/>
      <c r="F29" s="180"/>
      <c r="G29" s="180"/>
      <c r="H29" s="180"/>
      <c r="I29" s="180"/>
      <c r="J29" s="180"/>
      <c r="K29" s="180"/>
      <c r="L29" s="180"/>
      <c r="M29" s="180"/>
      <c r="N29" s="180"/>
      <c r="O29" s="180"/>
      <c r="P29" s="180"/>
      <c r="Q29" s="180"/>
      <c r="R29" s="180"/>
      <c r="S29" s="180"/>
    </row>
    <row r="30" spans="1:19" ht="14.25" customHeight="1" x14ac:dyDescent="0.25">
      <c r="A30" s="180"/>
      <c r="B30" s="180"/>
      <c r="C30" s="180"/>
      <c r="D30" s="180"/>
      <c r="E30" s="180"/>
      <c r="F30" s="180"/>
      <c r="G30" s="180"/>
      <c r="H30" s="180"/>
      <c r="I30" s="180"/>
      <c r="J30" s="180"/>
      <c r="K30" s="180"/>
      <c r="L30" s="180"/>
      <c r="M30" s="180"/>
      <c r="N30" s="180"/>
      <c r="O30" s="180"/>
      <c r="P30" s="180"/>
      <c r="Q30" s="180"/>
      <c r="R30" s="180"/>
      <c r="S30" s="180"/>
    </row>
    <row r="31" spans="1:19" ht="14.25" customHeight="1" x14ac:dyDescent="0.25">
      <c r="A31" s="180"/>
      <c r="B31" s="180"/>
      <c r="C31" s="180"/>
      <c r="D31" s="180"/>
      <c r="E31" s="180"/>
      <c r="F31" s="180"/>
      <c r="G31" s="180"/>
      <c r="H31" s="180"/>
      <c r="I31" s="180"/>
      <c r="J31" s="180"/>
      <c r="K31" s="180"/>
      <c r="L31" s="180"/>
      <c r="M31" s="180"/>
      <c r="N31" s="180"/>
      <c r="O31" s="180"/>
      <c r="P31" s="180"/>
      <c r="Q31" s="180"/>
      <c r="R31" s="180"/>
      <c r="S31" s="180"/>
    </row>
    <row r="32" spans="1:19" ht="14.25" customHeight="1" x14ac:dyDescent="0.25">
      <c r="A32" s="180"/>
      <c r="B32" s="180"/>
      <c r="C32" s="180"/>
      <c r="D32" s="180"/>
      <c r="E32" s="180"/>
      <c r="F32" s="180"/>
      <c r="G32" s="180"/>
      <c r="H32" s="180"/>
      <c r="I32" s="180"/>
      <c r="J32" s="180"/>
      <c r="K32" s="180"/>
      <c r="L32" s="180"/>
      <c r="M32" s="180"/>
      <c r="N32" s="180"/>
      <c r="O32" s="180"/>
      <c r="P32" s="180"/>
      <c r="Q32" s="180"/>
      <c r="R32" s="180"/>
      <c r="S32" s="180"/>
    </row>
    <row r="33" spans="1:19" ht="14.25" customHeight="1" x14ac:dyDescent="0.25">
      <c r="A33" s="180"/>
      <c r="B33" s="180"/>
      <c r="C33" s="180"/>
      <c r="D33" s="180"/>
      <c r="E33" s="180"/>
      <c r="F33" s="180"/>
      <c r="G33" s="180"/>
      <c r="H33" s="180"/>
      <c r="I33" s="180"/>
      <c r="J33" s="180"/>
      <c r="K33" s="180"/>
      <c r="L33" s="180"/>
      <c r="M33" s="180"/>
      <c r="N33" s="180"/>
      <c r="O33" s="180"/>
      <c r="P33" s="180"/>
      <c r="Q33" s="180"/>
      <c r="R33" s="180"/>
      <c r="S33" s="180"/>
    </row>
    <row r="34" spans="1:19" ht="14.25" customHeight="1" x14ac:dyDescent="0.25">
      <c r="A34" s="180"/>
      <c r="B34" s="180"/>
      <c r="C34" s="180"/>
      <c r="D34" s="180"/>
      <c r="E34" s="180"/>
      <c r="F34" s="180"/>
      <c r="G34" s="180"/>
      <c r="H34" s="180"/>
      <c r="I34" s="180"/>
      <c r="J34" s="180"/>
      <c r="K34" s="180"/>
      <c r="L34" s="180"/>
      <c r="M34" s="180"/>
      <c r="N34" s="180"/>
      <c r="O34" s="180"/>
      <c r="P34" s="180"/>
      <c r="Q34" s="180"/>
      <c r="R34" s="180"/>
      <c r="S34" s="180"/>
    </row>
    <row r="35" spans="1:19" ht="14.25" customHeight="1" x14ac:dyDescent="0.25">
      <c r="A35" s="180"/>
      <c r="B35" s="180"/>
      <c r="C35" s="180"/>
      <c r="D35" s="180"/>
      <c r="E35" s="180"/>
      <c r="F35" s="180"/>
      <c r="G35" s="180"/>
      <c r="H35" s="180"/>
      <c r="I35" s="180"/>
      <c r="J35" s="180"/>
      <c r="K35" s="180"/>
      <c r="L35" s="180"/>
      <c r="M35" s="180"/>
      <c r="N35" s="180"/>
      <c r="O35" s="180"/>
      <c r="P35" s="180"/>
      <c r="Q35" s="180"/>
      <c r="R35" s="180"/>
      <c r="S35" s="180"/>
    </row>
    <row r="36" spans="1:19" ht="14.25" customHeight="1" x14ac:dyDescent="0.25">
      <c r="A36" s="180"/>
      <c r="B36" s="180"/>
      <c r="C36" s="180"/>
      <c r="D36" s="180"/>
      <c r="E36" s="180"/>
      <c r="F36" s="180"/>
      <c r="G36" s="180"/>
      <c r="H36" s="180"/>
      <c r="I36" s="180"/>
      <c r="J36" s="180"/>
      <c r="K36" s="180"/>
      <c r="L36" s="180"/>
      <c r="M36" s="180"/>
      <c r="N36" s="180"/>
      <c r="O36" s="180"/>
      <c r="P36" s="180"/>
      <c r="Q36" s="180"/>
      <c r="R36" s="180"/>
      <c r="S36" s="180"/>
    </row>
    <row r="37" spans="1:19" ht="14.25" customHeight="1" x14ac:dyDescent="0.25">
      <c r="A37" s="180"/>
      <c r="B37" s="180"/>
      <c r="C37" s="180"/>
      <c r="D37" s="180"/>
      <c r="E37" s="180"/>
      <c r="F37" s="180"/>
      <c r="G37" s="180"/>
      <c r="H37" s="180"/>
      <c r="I37" s="180"/>
      <c r="J37" s="180"/>
      <c r="K37" s="180"/>
      <c r="L37" s="180"/>
      <c r="M37" s="180"/>
      <c r="N37" s="180"/>
      <c r="O37" s="180"/>
      <c r="P37" s="180"/>
      <c r="Q37" s="180"/>
      <c r="R37" s="180"/>
      <c r="S37" s="180"/>
    </row>
    <row r="38" spans="1:19" ht="14.25" customHeight="1" x14ac:dyDescent="0.25">
      <c r="A38" s="180"/>
      <c r="B38" s="180"/>
      <c r="C38" s="180"/>
      <c r="D38" s="180"/>
      <c r="E38" s="180"/>
      <c r="F38" s="180"/>
      <c r="G38" s="180"/>
      <c r="H38" s="180"/>
      <c r="I38" s="180"/>
      <c r="J38" s="180"/>
      <c r="K38" s="180"/>
      <c r="L38" s="180"/>
      <c r="M38" s="180"/>
      <c r="N38" s="180"/>
      <c r="O38" s="180"/>
      <c r="P38" s="180"/>
      <c r="Q38" s="180"/>
      <c r="R38" s="180"/>
      <c r="S38" s="180"/>
    </row>
    <row r="39" spans="1:19" ht="14.25" customHeight="1" x14ac:dyDescent="0.25">
      <c r="A39" s="180"/>
      <c r="B39" s="180"/>
      <c r="C39" s="180"/>
      <c r="D39" s="180"/>
      <c r="E39" s="180"/>
      <c r="F39" s="180"/>
      <c r="G39" s="180"/>
      <c r="H39" s="180"/>
      <c r="I39" s="180"/>
      <c r="J39" s="180"/>
      <c r="K39" s="180"/>
      <c r="L39" s="180"/>
      <c r="M39" s="180"/>
      <c r="N39" s="180"/>
      <c r="O39" s="180"/>
      <c r="P39" s="180"/>
      <c r="Q39" s="180"/>
      <c r="R39" s="180"/>
      <c r="S39" s="180"/>
    </row>
    <row r="40" spans="1:19" ht="14.25" customHeight="1" x14ac:dyDescent="0.25">
      <c r="A40" s="180"/>
      <c r="B40" s="180"/>
      <c r="C40" s="180"/>
      <c r="D40" s="180"/>
      <c r="E40" s="180"/>
      <c r="F40" s="180"/>
      <c r="G40" s="180"/>
      <c r="H40" s="180"/>
      <c r="I40" s="180"/>
      <c r="J40" s="180"/>
      <c r="K40" s="180"/>
      <c r="L40" s="180"/>
      <c r="M40" s="180"/>
      <c r="N40" s="180"/>
      <c r="O40" s="180"/>
      <c r="P40" s="180"/>
      <c r="Q40" s="180"/>
      <c r="R40" s="180"/>
      <c r="S40" s="180"/>
    </row>
    <row r="41" spans="1:19" ht="14.25" customHeight="1" x14ac:dyDescent="0.25">
      <c r="A41" s="180"/>
      <c r="B41" s="180"/>
      <c r="C41" s="180"/>
      <c r="D41" s="180"/>
      <c r="E41" s="180"/>
      <c r="F41" s="180"/>
      <c r="G41" s="180"/>
      <c r="H41" s="180"/>
      <c r="I41" s="180"/>
      <c r="J41" s="180"/>
      <c r="K41" s="180"/>
      <c r="L41" s="180"/>
      <c r="M41" s="180"/>
      <c r="N41" s="180"/>
      <c r="O41" s="180"/>
      <c r="P41" s="180"/>
      <c r="Q41" s="180"/>
      <c r="R41" s="180"/>
      <c r="S41" s="180"/>
    </row>
    <row r="42" spans="1:19" ht="14.25" customHeight="1" x14ac:dyDescent="0.25">
      <c r="A42" s="141"/>
      <c r="B42" s="142"/>
      <c r="C42" s="143"/>
    </row>
    <row r="43" spans="1:19" ht="14.25" customHeight="1" x14ac:dyDescent="0.25">
      <c r="A43" s="164" t="str">
        <f>'Decision Matrix v.02'!C2</f>
        <v>Microsoft Berlin Office</v>
      </c>
      <c r="B43" s="164"/>
      <c r="C43" s="164"/>
      <c r="F43" s="144"/>
      <c r="G43" s="144"/>
    </row>
    <row r="44" spans="1:19" ht="14.25" customHeight="1" x14ac:dyDescent="0.25">
      <c r="A44" s="143" t="str">
        <f>CONCATENATE('Decision Matrix v.02'!C3,",",'Decision Matrix v.02'!C4)</f>
        <v>Unter den Linden 17,10117 Berlin</v>
      </c>
      <c r="B44" s="142"/>
      <c r="C44" s="142"/>
      <c r="F44" s="134"/>
      <c r="G44" s="134"/>
    </row>
    <row r="45" spans="1:19" ht="14.25" customHeight="1" x14ac:dyDescent="0.25">
      <c r="A45" s="145" t="str">
        <f>[1]Schedule!B4</f>
        <v>PRJ Phase</v>
      </c>
      <c r="B45" s="142"/>
      <c r="C45" s="142"/>
      <c r="F45" s="144"/>
      <c r="G45" s="144"/>
    </row>
    <row r="46" spans="1:19" ht="14.25" customHeight="1" x14ac:dyDescent="0.25">
      <c r="A46" s="145" t="str">
        <f>[1]Schedule!B5</f>
        <v>PRJ Number</v>
      </c>
      <c r="B46" s="142"/>
      <c r="C46" s="142"/>
      <c r="F46" s="144"/>
      <c r="G46" s="144"/>
    </row>
    <row r="47" spans="1:19" ht="14.25" customHeight="1" x14ac:dyDescent="0.25">
      <c r="A47" s="146">
        <f>'Decision Matrix v.02'!C6</f>
        <v>45919</v>
      </c>
      <c r="B47" s="142"/>
      <c r="C47" s="142"/>
      <c r="F47" s="144"/>
      <c r="G47" s="144"/>
    </row>
    <row r="48" spans="1:19" ht="14.25" customHeight="1" x14ac:dyDescent="0.25">
      <c r="A48" s="142"/>
      <c r="B48" s="142"/>
      <c r="C48" s="142"/>
      <c r="F48" s="144"/>
      <c r="G48" s="144"/>
    </row>
  </sheetData>
  <mergeCells count="2">
    <mergeCell ref="A43:C43"/>
    <mergeCell ref="A9:S41"/>
  </mergeCells>
  <pageMargins left="0.6692913385826772" right="0.59055118110236227" top="1.0629921259842521" bottom="0.59055118110236227" header="0.31496062992125984" footer="0.27559055118110237"/>
  <pageSetup paperSize="8" orientation="landscape" verticalDpi="1200" r:id="rId1"/>
  <headerFooter>
    <oddHeader>&amp;R&amp;G</oddHeader>
    <oddFooter>&amp;L&amp;7©Buro Happold 
Pfalzburger Straße 43/44, 10717 Berlin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BD36-78FF-4059-9908-81B1EFBC9CB1}">
  <sheetPr codeName="Sheet5">
    <tabColor theme="5"/>
  </sheetPr>
  <dimension ref="A2:I48"/>
  <sheetViews>
    <sheetView view="pageLayout" zoomScale="85" zoomScaleNormal="85" zoomScalePageLayoutView="85" workbookViewId="0">
      <selection activeCell="I14" sqref="I14"/>
    </sheetView>
  </sheetViews>
  <sheetFormatPr defaultColWidth="9.140625" defaultRowHeight="14.25" x14ac:dyDescent="0.25"/>
  <cols>
    <col min="1" max="1" width="21.140625" customWidth="1"/>
    <col min="2" max="3" width="8.85546875" customWidth="1"/>
    <col min="4" max="4" width="4.7109375" customWidth="1"/>
    <col min="5" max="5" width="4" customWidth="1"/>
    <col min="6" max="6" width="9.28515625" customWidth="1"/>
    <col min="7" max="7" width="23.28515625" customWidth="1"/>
    <col min="8" max="8" width="9.140625" customWidth="1"/>
    <col min="9" max="9" width="15.28515625" customWidth="1"/>
  </cols>
  <sheetData>
    <row r="2" spans="1:7" ht="17.25" x14ac:dyDescent="0.3">
      <c r="A2" s="137" t="s">
        <v>0</v>
      </c>
    </row>
    <row r="4" spans="1:7" x14ac:dyDescent="0.25">
      <c r="A4" s="165" t="s">
        <v>1</v>
      </c>
      <c r="B4" s="166"/>
      <c r="C4" s="166"/>
      <c r="D4" s="135"/>
      <c r="E4" s="135"/>
      <c r="F4" s="135"/>
      <c r="G4" s="134"/>
    </row>
    <row r="5" spans="1:7" x14ac:dyDescent="0.25">
      <c r="A5" s="166"/>
      <c r="B5" s="166"/>
      <c r="C5" s="166"/>
      <c r="D5" s="135"/>
      <c r="E5" s="135"/>
      <c r="F5" s="135"/>
      <c r="G5" s="136"/>
    </row>
    <row r="6" spans="1:7" x14ac:dyDescent="0.25">
      <c r="A6" s="166"/>
      <c r="B6" s="166"/>
      <c r="C6" s="166"/>
      <c r="D6" s="135"/>
      <c r="E6" s="135"/>
      <c r="F6" s="135"/>
      <c r="G6" s="134"/>
    </row>
    <row r="7" spans="1:7" x14ac:dyDescent="0.25">
      <c r="A7" s="166"/>
      <c r="B7" s="166"/>
      <c r="C7" s="166"/>
      <c r="D7" s="139"/>
      <c r="E7" s="138"/>
      <c r="F7" s="138"/>
      <c r="G7" s="134"/>
    </row>
    <row r="8" spans="1:7" x14ac:dyDescent="0.25">
      <c r="A8" s="166"/>
      <c r="B8" s="166"/>
      <c r="C8" s="166"/>
      <c r="D8" s="135"/>
      <c r="E8" s="135"/>
      <c r="F8" s="147"/>
      <c r="G8" s="148"/>
    </row>
    <row r="9" spans="1:7" x14ac:dyDescent="0.25">
      <c r="A9" s="166"/>
      <c r="B9" s="166"/>
      <c r="C9" s="166"/>
      <c r="D9" s="135"/>
      <c r="E9" s="135"/>
      <c r="F9" s="149"/>
      <c r="G9" s="150"/>
    </row>
    <row r="10" spans="1:7" x14ac:dyDescent="0.25">
      <c r="A10" s="166"/>
      <c r="B10" s="166"/>
      <c r="C10" s="166"/>
      <c r="D10" s="135"/>
      <c r="E10" s="135"/>
      <c r="F10" s="135"/>
      <c r="G10" s="134"/>
    </row>
    <row r="11" spans="1:7" ht="14.25" customHeight="1" x14ac:dyDescent="0.25">
      <c r="A11" s="166"/>
      <c r="B11" s="166"/>
      <c r="C11" s="166"/>
      <c r="D11" s="140"/>
      <c r="E11" s="140"/>
      <c r="F11" s="140"/>
      <c r="G11" s="134"/>
    </row>
    <row r="12" spans="1:7" x14ac:dyDescent="0.25">
      <c r="A12" s="166"/>
      <c r="B12" s="166"/>
      <c r="C12" s="166"/>
      <c r="D12" s="140"/>
      <c r="E12" s="140"/>
      <c r="F12" s="140"/>
      <c r="G12" s="134"/>
    </row>
    <row r="13" spans="1:7" x14ac:dyDescent="0.25">
      <c r="A13" s="166"/>
      <c r="B13" s="166"/>
      <c r="C13" s="166"/>
      <c r="D13" s="140"/>
      <c r="E13" s="140"/>
      <c r="F13" s="151"/>
      <c r="G13" s="148"/>
    </row>
    <row r="14" spans="1:7" x14ac:dyDescent="0.25">
      <c r="A14" s="166"/>
      <c r="B14" s="166"/>
      <c r="C14" s="166"/>
      <c r="F14" s="152"/>
      <c r="G14" s="152"/>
    </row>
    <row r="15" spans="1:7" x14ac:dyDescent="0.25">
      <c r="A15" s="166"/>
      <c r="B15" s="166"/>
      <c r="C15" s="166"/>
    </row>
    <row r="16" spans="1:7" x14ac:dyDescent="0.25">
      <c r="A16" s="166"/>
      <c r="B16" s="166"/>
      <c r="C16" s="166"/>
    </row>
    <row r="17" spans="1:7" x14ac:dyDescent="0.25">
      <c r="A17" s="166"/>
      <c r="B17" s="166"/>
      <c r="C17" s="166"/>
    </row>
    <row r="18" spans="1:7" x14ac:dyDescent="0.25">
      <c r="A18" s="166"/>
      <c r="B18" s="166"/>
      <c r="C18" s="166"/>
      <c r="F18" s="153"/>
      <c r="G18" s="153"/>
    </row>
    <row r="19" spans="1:7" x14ac:dyDescent="0.25">
      <c r="A19" s="166"/>
      <c r="B19" s="166"/>
      <c r="C19" s="166"/>
      <c r="F19" s="152"/>
      <c r="G19" s="152"/>
    </row>
    <row r="20" spans="1:7" x14ac:dyDescent="0.25">
      <c r="A20" s="166"/>
      <c r="B20" s="166"/>
      <c r="C20" s="166"/>
    </row>
    <row r="21" spans="1:7" x14ac:dyDescent="0.25">
      <c r="A21" s="166"/>
      <c r="B21" s="166"/>
      <c r="C21" s="166"/>
    </row>
    <row r="22" spans="1:7" x14ac:dyDescent="0.25">
      <c r="A22" s="166"/>
      <c r="B22" s="166"/>
      <c r="C22" s="166"/>
    </row>
    <row r="23" spans="1:7" x14ac:dyDescent="0.25">
      <c r="A23" s="166"/>
      <c r="B23" s="166"/>
      <c r="C23" s="166"/>
      <c r="F23" s="153"/>
      <c r="G23" s="153"/>
    </row>
    <row r="24" spans="1:7" x14ac:dyDescent="0.25">
      <c r="A24" s="166"/>
      <c r="B24" s="166"/>
      <c r="C24" s="166"/>
      <c r="F24" s="152"/>
      <c r="G24" s="152"/>
    </row>
    <row r="25" spans="1:7" x14ac:dyDescent="0.25">
      <c r="A25" s="166"/>
      <c r="B25" s="166"/>
      <c r="C25" s="166"/>
    </row>
    <row r="26" spans="1:7" x14ac:dyDescent="0.25">
      <c r="A26" s="141"/>
    </row>
    <row r="27" spans="1:7" ht="17.25" x14ac:dyDescent="0.3">
      <c r="A27" s="137" t="s">
        <v>2</v>
      </c>
    </row>
    <row r="28" spans="1:7" x14ac:dyDescent="0.25">
      <c r="A28" s="141"/>
      <c r="F28" s="153"/>
      <c r="G28" s="153"/>
    </row>
    <row r="29" spans="1:7" x14ac:dyDescent="0.25">
      <c r="A29" s="145"/>
      <c r="F29" s="152"/>
      <c r="G29" s="152"/>
    </row>
    <row r="30" spans="1:7" x14ac:dyDescent="0.25">
      <c r="A30" s="145"/>
    </row>
    <row r="31" spans="1:7" x14ac:dyDescent="0.25">
      <c r="A31" s="145"/>
    </row>
    <row r="32" spans="1:7" x14ac:dyDescent="0.25">
      <c r="A32" s="145"/>
    </row>
    <row r="33" spans="1:9" x14ac:dyDescent="0.25">
      <c r="A33" s="154"/>
      <c r="B33" s="153"/>
      <c r="F33" s="153"/>
      <c r="G33" s="153"/>
    </row>
    <row r="34" spans="1:9" x14ac:dyDescent="0.25">
      <c r="A34" s="155"/>
      <c r="B34" s="152"/>
      <c r="F34" s="152"/>
      <c r="G34" s="152"/>
    </row>
    <row r="35" spans="1:9" x14ac:dyDescent="0.25">
      <c r="A35" s="141"/>
    </row>
    <row r="36" spans="1:9" x14ac:dyDescent="0.25">
      <c r="A36" s="141"/>
    </row>
    <row r="37" spans="1:9" ht="14.25" customHeight="1" x14ac:dyDescent="0.25">
      <c r="A37" s="145"/>
      <c r="B37" s="142"/>
      <c r="C37" s="142"/>
      <c r="D37" s="143"/>
    </row>
    <row r="38" spans="1:9" x14ac:dyDescent="0.25">
      <c r="A38" s="156"/>
      <c r="B38" s="157"/>
      <c r="C38" s="142"/>
      <c r="D38" s="143"/>
      <c r="F38" s="153"/>
      <c r="G38" s="153"/>
    </row>
    <row r="39" spans="1:9" x14ac:dyDescent="0.25">
      <c r="A39" s="158"/>
      <c r="B39" s="159"/>
      <c r="C39" s="142"/>
      <c r="D39" s="143"/>
      <c r="F39" s="152"/>
      <c r="G39" s="152"/>
    </row>
    <row r="40" spans="1:9" x14ac:dyDescent="0.25">
      <c r="A40" s="145"/>
      <c r="B40" s="142"/>
      <c r="C40" s="142"/>
      <c r="D40" s="143"/>
    </row>
    <row r="41" spans="1:9" x14ac:dyDescent="0.25">
      <c r="A41" s="141"/>
      <c r="B41" s="142"/>
      <c r="C41" s="142"/>
      <c r="D41" s="143"/>
    </row>
    <row r="42" spans="1:9" ht="14.25" customHeight="1" x14ac:dyDescent="0.25">
      <c r="A42" s="141"/>
      <c r="B42" s="142"/>
      <c r="C42" s="142"/>
      <c r="D42" s="143"/>
    </row>
    <row r="43" spans="1:9" ht="14.25" customHeight="1" x14ac:dyDescent="0.25">
      <c r="A43" s="156"/>
      <c r="B43" s="157"/>
      <c r="C43" s="142"/>
      <c r="D43" s="142"/>
      <c r="F43" s="153"/>
      <c r="G43" s="153"/>
      <c r="H43" s="144"/>
      <c r="I43" s="144"/>
    </row>
    <row r="44" spans="1:9" ht="14.25" customHeight="1" x14ac:dyDescent="0.25">
      <c r="A44" s="158"/>
      <c r="B44" s="159"/>
      <c r="C44" s="142"/>
      <c r="D44" s="142"/>
      <c r="F44" s="152"/>
      <c r="G44" s="152"/>
      <c r="H44" s="134"/>
      <c r="I44" s="134"/>
    </row>
    <row r="45" spans="1:9" ht="14.25" customHeight="1" x14ac:dyDescent="0.25">
      <c r="A45" s="145"/>
      <c r="B45" s="142"/>
      <c r="C45" s="142"/>
      <c r="D45" s="142"/>
      <c r="H45" s="144"/>
      <c r="I45" s="144"/>
    </row>
    <row r="46" spans="1:9" ht="14.25" customHeight="1" x14ac:dyDescent="0.25">
      <c r="A46" s="145"/>
      <c r="B46" s="142"/>
      <c r="C46" s="142"/>
      <c r="D46" s="142"/>
      <c r="H46" s="144"/>
      <c r="I46" s="144"/>
    </row>
    <row r="47" spans="1:9" ht="14.25" customHeight="1" x14ac:dyDescent="0.25">
      <c r="A47" s="146"/>
      <c r="B47" s="142"/>
      <c r="C47" s="142"/>
      <c r="D47" s="142"/>
      <c r="H47" s="144"/>
      <c r="I47" s="144"/>
    </row>
    <row r="48" spans="1:9" ht="14.25" customHeight="1" x14ac:dyDescent="0.25">
      <c r="A48" s="157"/>
      <c r="B48" s="157"/>
      <c r="C48" s="142"/>
      <c r="D48" s="142"/>
      <c r="F48" s="153"/>
      <c r="G48" s="153"/>
      <c r="H48" s="144"/>
      <c r="I48" s="144"/>
    </row>
  </sheetData>
  <mergeCells count="1">
    <mergeCell ref="A4:C25"/>
  </mergeCells>
  <pageMargins left="0.6692913385826772" right="0.59055118110236227" top="1.0629921259842521" bottom="0.59055118110236227" header="0.31496062992125984" footer="0.27559055118110237"/>
  <pageSetup paperSize="9" orientation="portrait" verticalDpi="1200" r:id="rId1"/>
  <headerFooter>
    <oddHeader>&amp;L&amp;9PRJ Title
PRJ Location, PRJ Country
PRJ Phase - DATE
PRJ Number&amp;R&amp;G</oddHeader>
    <oddFooter>&amp;L&amp;7©Buro Happold
Pfalzburger Straße 43/44, 10717 Berlin&amp;R&amp;9Page &amp;P of &amp;N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75A9B-38C5-464E-9354-2663F0BD6B5F}">
  <dimension ref="A1:P18"/>
  <sheetViews>
    <sheetView workbookViewId="0">
      <selection activeCell="E36" sqref="E36"/>
    </sheetView>
  </sheetViews>
  <sheetFormatPr defaultColWidth="8.85546875" defaultRowHeight="14.25" x14ac:dyDescent="0.25"/>
  <cols>
    <col min="1" max="1" width="12" customWidth="1"/>
    <col min="2" max="2" width="18.7109375" customWidth="1"/>
    <col min="3" max="3" width="18.42578125" customWidth="1"/>
    <col min="4" max="4" width="16.42578125" customWidth="1"/>
    <col min="5" max="5" width="26.140625" customWidth="1"/>
  </cols>
  <sheetData>
    <row r="1" spans="1:16" x14ac:dyDescent="0.25">
      <c r="A1" s="1" t="s">
        <v>3</v>
      </c>
      <c r="B1" s="1" t="s">
        <v>4</v>
      </c>
      <c r="C1" s="1" t="s">
        <v>5</v>
      </c>
      <c r="D1" s="1" t="s">
        <v>6</v>
      </c>
      <c r="E1" s="1" t="s">
        <v>7</v>
      </c>
    </row>
    <row r="2" spans="1:16" x14ac:dyDescent="0.25">
      <c r="A2" t="s">
        <v>8</v>
      </c>
      <c r="B2" t="s">
        <v>9</v>
      </c>
      <c r="C2" t="s">
        <v>10</v>
      </c>
      <c r="D2" t="s">
        <v>11</v>
      </c>
      <c r="E2" t="s">
        <v>12</v>
      </c>
      <c r="N2" t="s">
        <v>13</v>
      </c>
      <c r="O2" t="s">
        <v>14</v>
      </c>
      <c r="P2" t="str">
        <f t="shared" ref="P2:P18" si="0">N2&amp;O2</f>
        <v>www.artemide.com</v>
      </c>
    </row>
    <row r="3" spans="1:16" x14ac:dyDescent="0.25">
      <c r="A3" t="s">
        <v>15</v>
      </c>
      <c r="B3" t="s">
        <v>16</v>
      </c>
      <c r="C3" t="s">
        <v>17</v>
      </c>
      <c r="D3" t="s">
        <v>18</v>
      </c>
      <c r="E3" t="s">
        <v>19</v>
      </c>
      <c r="N3" t="s">
        <v>13</v>
      </c>
      <c r="O3" t="s">
        <v>20</v>
      </c>
      <c r="P3" t="str">
        <f t="shared" si="0"/>
        <v xml:space="preserve">www.baulmann.com </v>
      </c>
    </row>
    <row r="4" spans="1:16" x14ac:dyDescent="0.25">
      <c r="A4" t="s">
        <v>21</v>
      </c>
      <c r="B4" t="s">
        <v>22</v>
      </c>
      <c r="C4" t="s">
        <v>23</v>
      </c>
      <c r="D4" t="s">
        <v>24</v>
      </c>
      <c r="E4" t="s">
        <v>25</v>
      </c>
      <c r="N4" t="s">
        <v>13</v>
      </c>
      <c r="O4" t="s">
        <v>26</v>
      </c>
      <c r="P4" t="str">
        <f t="shared" si="0"/>
        <v>www.bega.com</v>
      </c>
    </row>
    <row r="5" spans="1:16" x14ac:dyDescent="0.25">
      <c r="A5" t="s">
        <v>27</v>
      </c>
      <c r="B5" t="s">
        <v>28</v>
      </c>
      <c r="C5" t="s">
        <v>29</v>
      </c>
      <c r="D5" t="s">
        <v>30</v>
      </c>
      <c r="E5" t="s">
        <v>31</v>
      </c>
      <c r="N5" t="s">
        <v>13</v>
      </c>
      <c r="O5" t="s">
        <v>32</v>
      </c>
      <c r="P5" t="str">
        <f t="shared" si="0"/>
        <v>www.doellken-lighting.com</v>
      </c>
    </row>
    <row r="6" spans="1:16" x14ac:dyDescent="0.25">
      <c r="A6" t="s">
        <v>33</v>
      </c>
      <c r="B6" t="s">
        <v>34</v>
      </c>
      <c r="C6" t="s">
        <v>35</v>
      </c>
      <c r="D6" t="s">
        <v>36</v>
      </c>
      <c r="E6" t="s">
        <v>37</v>
      </c>
      <c r="N6" t="s">
        <v>13</v>
      </c>
      <c r="O6" t="s">
        <v>38</v>
      </c>
      <c r="P6" t="str">
        <f t="shared" si="0"/>
        <v>www.flos.com</v>
      </c>
    </row>
    <row r="7" spans="1:16" x14ac:dyDescent="0.25">
      <c r="A7" t="s">
        <v>39</v>
      </c>
      <c r="B7" t="s">
        <v>40</v>
      </c>
      <c r="C7" t="s">
        <v>41</v>
      </c>
      <c r="D7" t="s">
        <v>42</v>
      </c>
      <c r="E7" t="s">
        <v>43</v>
      </c>
      <c r="N7" t="s">
        <v>13</v>
      </c>
      <c r="O7" t="s">
        <v>44</v>
      </c>
      <c r="P7" t="str">
        <f t="shared" si="0"/>
        <v>www.focus-lighting.dk</v>
      </c>
    </row>
    <row r="8" spans="1:16" x14ac:dyDescent="0.25">
      <c r="A8" t="s">
        <v>45</v>
      </c>
      <c r="B8" t="s">
        <v>46</v>
      </c>
      <c r="C8" t="s">
        <v>47</v>
      </c>
      <c r="D8" t="s">
        <v>48</v>
      </c>
      <c r="E8" t="s">
        <v>49</v>
      </c>
      <c r="N8" t="s">
        <v>13</v>
      </c>
      <c r="O8" t="s">
        <v>50</v>
      </c>
      <c r="P8" t="str">
        <f t="shared" si="0"/>
        <v>www.iguzzini.com</v>
      </c>
    </row>
    <row r="9" spans="1:16" x14ac:dyDescent="0.25">
      <c r="A9" t="s">
        <v>51</v>
      </c>
      <c r="B9" t="s">
        <v>52</v>
      </c>
      <c r="C9" t="s">
        <v>53</v>
      </c>
      <c r="D9" t="s">
        <v>54</v>
      </c>
      <c r="E9" t="s">
        <v>55</v>
      </c>
      <c r="N9" t="s">
        <v>13</v>
      </c>
      <c r="O9" t="s">
        <v>56</v>
      </c>
      <c r="P9" t="str">
        <f t="shared" si="0"/>
        <v>www.instalighting.de</v>
      </c>
    </row>
    <row r="10" spans="1:16" x14ac:dyDescent="0.25">
      <c r="A10" t="s">
        <v>57</v>
      </c>
      <c r="B10" t="s">
        <v>58</v>
      </c>
      <c r="C10" t="s">
        <v>59</v>
      </c>
      <c r="D10" t="s">
        <v>60</v>
      </c>
      <c r="E10" t="s">
        <v>61</v>
      </c>
      <c r="N10" t="s">
        <v>13</v>
      </c>
      <c r="O10" t="s">
        <v>62</v>
      </c>
      <c r="P10" t="str">
        <f t="shared" si="0"/>
        <v xml:space="preserve">www.barthelme.de </v>
      </c>
    </row>
    <row r="11" spans="1:16" x14ac:dyDescent="0.25">
      <c r="A11" t="s">
        <v>63</v>
      </c>
      <c r="B11" t="s">
        <v>64</v>
      </c>
      <c r="C11" t="s">
        <v>65</v>
      </c>
      <c r="D11" t="s">
        <v>66</v>
      </c>
      <c r="E11" t="s">
        <v>67</v>
      </c>
      <c r="N11" t="s">
        <v>13</v>
      </c>
      <c r="O11" t="s">
        <v>68</v>
      </c>
      <c r="P11" t="str">
        <f t="shared" si="0"/>
        <v>www.regianni.net</v>
      </c>
    </row>
    <row r="12" spans="1:16" x14ac:dyDescent="0.25">
      <c r="A12" t="s">
        <v>69</v>
      </c>
      <c r="B12" t="s">
        <v>70</v>
      </c>
      <c r="C12" t="s">
        <v>71</v>
      </c>
      <c r="D12" t="s">
        <v>72</v>
      </c>
      <c r="E12" t="s">
        <v>73</v>
      </c>
      <c r="N12" t="s">
        <v>13</v>
      </c>
      <c r="O12" t="s">
        <v>74</v>
      </c>
      <c r="P12" t="str">
        <f t="shared" si="0"/>
        <v>www.rentex-systeme.de</v>
      </c>
    </row>
    <row r="13" spans="1:16" x14ac:dyDescent="0.25">
      <c r="A13" t="s">
        <v>75</v>
      </c>
      <c r="B13" t="s">
        <v>76</v>
      </c>
      <c r="C13" t="s">
        <v>77</v>
      </c>
      <c r="D13" t="s">
        <v>78</v>
      </c>
      <c r="E13" t="s">
        <v>79</v>
      </c>
      <c r="N13" t="s">
        <v>13</v>
      </c>
      <c r="O13" t="s">
        <v>80</v>
      </c>
      <c r="P13" t="str">
        <f t="shared" si="0"/>
        <v>www.ribag.de</v>
      </c>
    </row>
    <row r="14" spans="1:16" x14ac:dyDescent="0.25">
      <c r="A14" t="s">
        <v>81</v>
      </c>
      <c r="B14" t="s">
        <v>82</v>
      </c>
      <c r="C14" t="s">
        <v>83</v>
      </c>
      <c r="D14" t="s">
        <v>84</v>
      </c>
      <c r="E14" t="s">
        <v>85</v>
      </c>
      <c r="N14" t="s">
        <v>13</v>
      </c>
      <c r="O14" t="s">
        <v>86</v>
      </c>
      <c r="P14" t="str">
        <f t="shared" si="0"/>
        <v>www.aagstucchi.it</v>
      </c>
    </row>
    <row r="15" spans="1:16" x14ac:dyDescent="0.25">
      <c r="A15" t="s">
        <v>87</v>
      </c>
      <c r="B15" t="s">
        <v>88</v>
      </c>
      <c r="C15" t="s">
        <v>89</v>
      </c>
      <c r="D15" t="s">
        <v>90</v>
      </c>
      <c r="E15" t="s">
        <v>91</v>
      </c>
      <c r="N15" t="s">
        <v>13</v>
      </c>
      <c r="O15" t="s">
        <v>92</v>
      </c>
      <c r="P15" t="str">
        <f t="shared" si="0"/>
        <v>www.trilux.com</v>
      </c>
    </row>
    <row r="16" spans="1:16" x14ac:dyDescent="0.25">
      <c r="A16" t="s">
        <v>93</v>
      </c>
      <c r="B16" t="s">
        <v>94</v>
      </c>
      <c r="C16" t="s">
        <v>95</v>
      </c>
      <c r="D16" t="s">
        <v>96</v>
      </c>
      <c r="E16" t="s">
        <v>97</v>
      </c>
      <c r="N16" t="s">
        <v>13</v>
      </c>
      <c r="O16" t="s">
        <v>98</v>
      </c>
      <c r="P16" t="str">
        <f t="shared" si="0"/>
        <v>www.we-ef.com</v>
      </c>
    </row>
    <row r="17" spans="1:16" x14ac:dyDescent="0.25">
      <c r="A17" t="s">
        <v>99</v>
      </c>
      <c r="B17" t="s">
        <v>100</v>
      </c>
      <c r="C17" t="s">
        <v>101</v>
      </c>
      <c r="D17" t="s">
        <v>102</v>
      </c>
      <c r="E17" t="s">
        <v>103</v>
      </c>
      <c r="N17" t="s">
        <v>13</v>
      </c>
      <c r="O17" t="s">
        <v>104</v>
      </c>
      <c r="P17" t="str">
        <f t="shared" si="0"/>
        <v>www.weverducre.com</v>
      </c>
    </row>
    <row r="18" spans="1:16" x14ac:dyDescent="0.25">
      <c r="A18" t="s">
        <v>105</v>
      </c>
      <c r="B18" t="s">
        <v>106</v>
      </c>
      <c r="C18" t="s">
        <v>107</v>
      </c>
      <c r="D18" t="s">
        <v>108</v>
      </c>
      <c r="E18" t="s">
        <v>109</v>
      </c>
      <c r="N18" t="s">
        <v>13</v>
      </c>
      <c r="O18" t="s">
        <v>110</v>
      </c>
      <c r="P18" t="str">
        <f t="shared" si="0"/>
        <v>www.xal.com</v>
      </c>
    </row>
  </sheetData>
  <hyperlinks>
    <hyperlink ref="E10" r:id="rId1" display="mailto:m.klemz@barthelme.de" xr:uid="{50C7EFD8-1479-41A6-B23D-4DBFDB064842}"/>
    <hyperlink ref="E2" r:id="rId2" display="mailto:smau@artemide.de" xr:uid="{543AAB10-DC98-4400-8B1D-156F0331041A}"/>
    <hyperlink ref="E18" r:id="rId3" display="mailto:Rainer.Kneifel@xal.com" xr:uid="{18019759-DE41-4A45-BE49-0D91FB4B9635}"/>
    <hyperlink ref="E17" r:id="rId4" display="mailto:Holger.Bruns@weverducre.com" xr:uid="{AE3C273B-17DA-4B54-8974-C334329054FF}"/>
    <hyperlink ref="E15" r:id="rId5" display="mailto:frank.hinz@trilux.com" xr:uid="{A635A926-CF98-401E-9C61-7CFACFA0ED13}"/>
    <hyperlink ref="E14" r:id="rId6" display="mailto:christoph.gassel@exceedation.com" xr:uid="{E6DB7AEC-51FE-4BE1-9D0F-03CEA2F2629F}"/>
    <hyperlink ref="E13" r:id="rId7" display="mailto:marco.grosse@ribag.com" xr:uid="{7A829C5B-F0A9-48BC-A1AA-693768FC1390}"/>
    <hyperlink ref="E12" r:id="rId8" display="mailto:julio.rocha@rentex-systeme.de" xr:uid="{7556A161-17B8-4667-9382-24882EA479EA}"/>
    <hyperlink ref="E11" r:id="rId9" display="bastian.z@reggiani.net" xr:uid="{D0AA40F4-CD92-48DE-B7FE-084F8759A71F}"/>
    <hyperlink ref="E9" r:id="rId10" display="mailto:c.krauss@instalighting.de" xr:uid="{84B51B7B-44E0-4DDD-9566-ABC18039C5A2}"/>
    <hyperlink ref="E8" r:id="rId11" display="mailto:enriko.kirschner@iguzzini.com" xr:uid="{B18035BA-EE90-4EEA-85FC-92A1D70D14EA}"/>
    <hyperlink ref="E6" r:id="rId12" display="mailto:jens.pilchowski@flos.com" xr:uid="{DBF73555-E84C-494A-B035-6479321A623E}"/>
    <hyperlink ref="E7" r:id="rId13" display="mailto:sa@focus-lighting.de" xr:uid="{87061B9B-AD41-412C-A864-F81416517F80}"/>
    <hyperlink ref="E5" r:id="rId14" display="mailto:julia.manasse@doellken-lighting.com" xr:uid="{E9CC4B8C-EA04-4CDF-BC57-0E5F0B5CF452}"/>
    <hyperlink ref="E4" r:id="rId15" display="mailto:service@bega.de" xr:uid="{FF196D77-C597-49AF-9331-17F6A39311CD}"/>
    <hyperlink ref="E3" r:id="rId16" display="mailto:t.meier@baulmann.com" xr:uid="{CA742171-E2E8-4973-A80A-738688844B0A}"/>
    <hyperlink ref="O10" r:id="rId17" display="www.barthelme.de " xr:uid="{DD5DC394-A9F2-41C1-BF38-19B645372341}"/>
    <hyperlink ref="O18" r:id="rId18" display="www.xal.com" xr:uid="{FBB03847-DED8-49C4-B106-3EE5692C8BA6}"/>
    <hyperlink ref="O17" r:id="rId19" display="www.weverducre.com" xr:uid="{550D475C-CEBC-4443-9BAF-3614AD2946CA}"/>
    <hyperlink ref="O16" r:id="rId20" display="www.we-ef.com" xr:uid="{78BC6273-6989-4C21-9E9E-17D2248A732E}"/>
    <hyperlink ref="O15" r:id="rId21" display="www.trilux.com" xr:uid="{70ED2715-BF01-41D6-B4AD-8EC6A98C5D12}"/>
    <hyperlink ref="O13" r:id="rId22" display="www.ribag.de" xr:uid="{80337CD4-E977-40F0-85B6-87C3C1D76294}"/>
    <hyperlink ref="O11" r:id="rId23" display="www.regianni.net" xr:uid="{CA4A7402-56A8-4A7C-99C7-6FED81D76273}"/>
    <hyperlink ref="O4" r:id="rId24" display="http://www.bega.com/" xr:uid="{41CFE45B-731B-4AC3-A373-D3E468E2DAF4}"/>
    <hyperlink ref="O3" r:id="rId25" display="http://www.baulmann.com/" xr:uid="{10ED4D4D-4592-4767-8712-5EDAEA851C11}"/>
    <hyperlink ref="O12" r:id="rId26" display="https://eur02.safelinks.protection.outlook.com/?url=http%3A%2F%2Fwww.rentex-systeme.de%2F&amp;data=05%7C01%7CNils.Voerste%40BuroHappold.com%7C8b10382b699b4ff8495908db891f271e%7C50ee6418869e48f5a9823607fcee1e1d%7C0%7C0%7C638254540752382345%7CUnknown%7CTWFpbGZsb3d8eyJWIjoiMC4wLjAwMDAiLCJQIjoiV2luMzIiLCJBTiI6Ik1haWwiLCJXVCI6Mn0%3D%7C3000%7C%7C%7C&amp;sdata=cfxzJiQRjJdmbc0h2NWt7MxROyJ0XloCiID0UJtQE18%3D&amp;reserved=0" xr:uid="{0F4AADE2-2AA4-4B02-97F1-3583CA0CB163}"/>
    <hyperlink ref="O6" r:id="rId27" display="www.flos.com/" xr:uid="{2E535513-8A3C-45B6-9D55-EBEA8BC0A3BB}"/>
    <hyperlink ref="O8" r:id="rId28" display="www.iguzzini.com/" xr:uid="{CA4A1A7E-8E18-4DBD-8E50-5DF283B4289E}"/>
    <hyperlink ref="O5" r:id="rId29" display="www.doellken-lighting.com" xr:uid="{D7FF516F-82B9-457F-B130-61DA51417408}"/>
    <hyperlink ref="B5" r:id="rId30" xr:uid="{560D3A00-A38A-46AC-842F-C3D76F4ADDF1}"/>
    <hyperlink ref="B8" r:id="rId31" display="www.iguzzini.com/" xr:uid="{476B886A-B45B-4FE5-A197-15FB9B4D2BA5}"/>
    <hyperlink ref="B6" r:id="rId32" display="www.flos.com/" xr:uid="{16CB1B65-23D0-4C98-84B8-04F88EBA482F}"/>
    <hyperlink ref="B12" r:id="rId33" display="https://eur02.safelinks.protection.outlook.com/?url=http%3A%2F%2Fwww.rentex-systeme.de%2F&amp;data=05%7C01%7CNils.Voerste%40BuroHappold.com%7C8b10382b699b4ff8495908db891f271e%7C50ee6418869e48f5a9823607fcee1e1d%7C0%7C0%7C638254540752382345%7CUnknown%7CTWFpbGZsb3d8eyJWIjoiMC4wLjAwMDAiLCJQIjoiV2luMzIiLCJBTiI6Ik1haWwiLCJXVCI6Mn0%3D%7C3000%7C%7C%7C&amp;sdata=cfxzJiQRjJdmbc0h2NWt7MxROyJ0XloCiID0UJtQE18%3D&amp;reserved=0" xr:uid="{7AD9722F-2CAB-4974-BE87-9D3F65FBCBDD}"/>
    <hyperlink ref="B3" r:id="rId34" display="http://www.baulmann.com/" xr:uid="{1A94A0A7-E2B2-4E52-B782-B68337AD5DD6}"/>
    <hyperlink ref="B4" r:id="rId35" display="http://www.bega.com/" xr:uid="{7458C8E4-9681-4E61-BD40-6DEA9BACCFE3}"/>
    <hyperlink ref="B11" r:id="rId36" display="http://www.regianni.net/" xr:uid="{F2D320A5-4C9C-44AD-AA36-44253F5D6615}"/>
    <hyperlink ref="B13" r:id="rId37" display="http://www.ribag.de/" xr:uid="{B7BCFDEC-DA4C-4124-A22E-4199D52B37C4}"/>
    <hyperlink ref="B15" r:id="rId38" display="http://www.trilux.com/" xr:uid="{C55D3BD1-E529-4128-96EA-5DB0BA2FFF0A}"/>
    <hyperlink ref="B16" r:id="rId39" display="http://www.we-ef.com/" xr:uid="{3D47060C-C616-42E6-8111-47EC5182AE52}"/>
    <hyperlink ref="B17" r:id="rId40" display="http://www.weverducre.com/" xr:uid="{8E19CAE2-E3E6-486A-808A-6ED9593E0537}"/>
    <hyperlink ref="B18" r:id="rId41" display="http://www.xal.com/" xr:uid="{A0742A74-4529-4544-9401-CB3C12D65F79}"/>
    <hyperlink ref="B10" r:id="rId42" xr:uid="{4774DCC0-9DAE-44D9-A821-7216B2D01100}"/>
  </hyperlinks>
  <pageMargins left="0.7" right="0.7" top="0.75" bottom="0.75" header="0.3" footer="0.3"/>
  <pageSetup paperSize="9" orientation="portrait" r:id="rId4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A10E-418A-422B-AFA6-1FC5D7C8428C}">
  <sheetPr>
    <pageSetUpPr fitToPage="1"/>
  </sheetPr>
  <dimension ref="A1:AL205"/>
  <sheetViews>
    <sheetView tabSelected="1" zoomScale="85" zoomScaleNormal="85" workbookViewId="0">
      <pane xSplit="1" ySplit="11" topLeftCell="B65" activePane="bottomRight" state="frozen"/>
      <selection pane="topRight" activeCell="B1" sqref="B1"/>
      <selection pane="bottomLeft" activeCell="A13" sqref="A13"/>
      <selection pane="bottomRight" activeCell="Q69" sqref="Q69"/>
    </sheetView>
  </sheetViews>
  <sheetFormatPr defaultRowHeight="14.25" x14ac:dyDescent="0.25"/>
  <cols>
    <col min="1" max="1" width="15.7109375" customWidth="1"/>
    <col min="2" max="2" width="11.140625" customWidth="1"/>
    <col min="3" max="3" width="7.85546875" customWidth="1"/>
    <col min="4" max="4" width="16.5703125" customWidth="1"/>
    <col min="5" max="6" width="9.85546875" customWidth="1"/>
    <col min="7" max="7" width="9.140625" style="5"/>
    <col min="8" max="8" width="23.5703125" customWidth="1"/>
    <col min="9" max="9" width="12" style="5" customWidth="1"/>
    <col min="10" max="10" width="15.85546875" style="5" customWidth="1"/>
    <col min="11" max="11" width="17.42578125" style="5" customWidth="1"/>
    <col min="12" max="12" width="12.7109375" style="5" customWidth="1"/>
    <col min="13" max="13" width="9.5703125" style="5" customWidth="1"/>
    <col min="14" max="14" width="22.140625" style="5" hidden="1" customWidth="1"/>
    <col min="15" max="15" width="15.28515625" style="5" customWidth="1"/>
    <col min="16" max="16" width="41.42578125" bestFit="1" customWidth="1"/>
    <col min="17" max="17" width="25.28515625" style="5" bestFit="1" customWidth="1"/>
    <col min="18" max="18" width="17.5703125" style="5" customWidth="1"/>
    <col min="19" max="19" width="13.140625" style="5" customWidth="1"/>
    <col min="20" max="20" width="28.140625" customWidth="1"/>
    <col min="21" max="21" width="15" customWidth="1"/>
    <col min="22" max="22" width="14.28515625" customWidth="1"/>
    <col min="23" max="23" width="14.5703125" customWidth="1"/>
    <col min="24" max="24" width="14.42578125" customWidth="1"/>
    <col min="25" max="26" width="15" customWidth="1"/>
    <col min="27" max="28" width="10.7109375" customWidth="1"/>
    <col min="29" max="31" width="12.140625" customWidth="1"/>
    <col min="32" max="32" width="17" customWidth="1"/>
    <col min="33" max="33" width="10.28515625" style="5" customWidth="1"/>
    <col min="34" max="34" width="21.140625" customWidth="1"/>
    <col min="35" max="35" width="29.85546875" customWidth="1"/>
    <col min="36" max="36" width="29.5703125" customWidth="1"/>
    <col min="37" max="37" width="28.5703125" customWidth="1"/>
    <col min="38" max="38" width="43.42578125" customWidth="1"/>
  </cols>
  <sheetData>
    <row r="1" spans="1:38" ht="18.75" customHeight="1" x14ac:dyDescent="0.35">
      <c r="B1" s="160" t="s">
        <v>111</v>
      </c>
      <c r="AL1" s="22"/>
    </row>
    <row r="2" spans="1:38" ht="15" thickBot="1" x14ac:dyDescent="0.3">
      <c r="B2" s="1" t="s">
        <v>112</v>
      </c>
      <c r="C2" s="74" t="s">
        <v>113</v>
      </c>
      <c r="D2" s="3"/>
      <c r="E2" s="3"/>
      <c r="H2" s="1" t="s">
        <v>114</v>
      </c>
      <c r="AL2" s="22"/>
    </row>
    <row r="3" spans="1:38" ht="15" thickBot="1" x14ac:dyDescent="0.3">
      <c r="C3" s="21" t="s">
        <v>115</v>
      </c>
      <c r="D3" s="2"/>
      <c r="E3" s="2"/>
      <c r="H3" s="121" t="s">
        <v>116</v>
      </c>
      <c r="I3" s="21" t="s">
        <v>117</v>
      </c>
      <c r="M3" s="105" t="s">
        <v>118</v>
      </c>
      <c r="O3" s="105"/>
      <c r="P3" s="3" t="s">
        <v>119</v>
      </c>
      <c r="Q3" s="126">
        <f>SUM(G12:G203)</f>
        <v>343</v>
      </c>
      <c r="X3" s="1" t="s">
        <v>120</v>
      </c>
      <c r="AA3" s="1"/>
      <c r="AB3" s="1"/>
      <c r="AG3" s="74" t="s">
        <v>121</v>
      </c>
      <c r="AL3" s="23"/>
    </row>
    <row r="4" spans="1:38" ht="15" thickBot="1" x14ac:dyDescent="0.3">
      <c r="C4" s="21" t="s">
        <v>122</v>
      </c>
      <c r="D4" s="2"/>
      <c r="E4" s="2"/>
      <c r="H4" s="122" t="s">
        <v>123</v>
      </c>
      <c r="I4" s="21" t="s">
        <v>124</v>
      </c>
      <c r="M4"/>
      <c r="AL4" s="22"/>
    </row>
    <row r="5" spans="1:38" ht="15" thickBot="1" x14ac:dyDescent="0.3">
      <c r="C5" s="21"/>
      <c r="D5" s="2"/>
      <c r="E5" s="2"/>
      <c r="F5" s="2"/>
      <c r="H5" s="123" t="s">
        <v>125</v>
      </c>
      <c r="I5" s="21" t="s">
        <v>126</v>
      </c>
      <c r="M5" s="85" t="s">
        <v>127</v>
      </c>
      <c r="O5" s="85"/>
      <c r="P5" s="3" t="s">
        <v>128</v>
      </c>
      <c r="Q5" s="133">
        <f>SUMIF(R11:R203,"X",AH11:AH203)</f>
        <v>1780.7999999999997</v>
      </c>
    </row>
    <row r="6" spans="1:38" ht="15" thickBot="1" x14ac:dyDescent="0.3">
      <c r="B6" s="1" t="s">
        <v>129</v>
      </c>
      <c r="C6" s="75">
        <v>45919</v>
      </c>
      <c r="D6" s="12"/>
      <c r="E6" s="12"/>
      <c r="F6" s="12"/>
      <c r="H6" s="124" t="s">
        <v>130</v>
      </c>
      <c r="I6" s="21" t="s">
        <v>131</v>
      </c>
      <c r="M6" s="86" t="s">
        <v>132</v>
      </c>
      <c r="O6" s="86"/>
      <c r="AL6" s="167"/>
    </row>
    <row r="7" spans="1:38" ht="15" thickBot="1" x14ac:dyDescent="0.3">
      <c r="B7" s="1" t="s">
        <v>133</v>
      </c>
      <c r="C7" s="21" t="s">
        <v>134</v>
      </c>
      <c r="D7" s="2"/>
      <c r="E7" s="2"/>
      <c r="F7" s="2"/>
      <c r="H7" s="125" t="s">
        <v>135</v>
      </c>
      <c r="I7" s="21" t="s">
        <v>136</v>
      </c>
      <c r="M7" s="87" t="s">
        <v>137</v>
      </c>
      <c r="O7" s="87"/>
      <c r="P7" s="3" t="s">
        <v>138</v>
      </c>
      <c r="Q7" s="133">
        <f>SUMIF(S11:S203,"X",AH11:AH203)</f>
        <v>0</v>
      </c>
      <c r="AL7" s="167"/>
    </row>
    <row r="8" spans="1:38" x14ac:dyDescent="0.25">
      <c r="B8" s="1" t="s">
        <v>139</v>
      </c>
      <c r="C8" s="21" t="s">
        <v>140</v>
      </c>
      <c r="D8" s="2"/>
      <c r="E8" s="2"/>
      <c r="F8" s="2"/>
      <c r="AC8" s="23"/>
      <c r="AD8" s="23"/>
      <c r="AE8" s="23"/>
      <c r="AH8" s="23"/>
      <c r="AL8" s="167"/>
    </row>
    <row r="9" spans="1:38" x14ac:dyDescent="0.25">
      <c r="AC9" s="92"/>
      <c r="AD9" s="92"/>
      <c r="AE9" s="92"/>
      <c r="AH9" s="92"/>
    </row>
    <row r="10" spans="1:38" s="4" customFormat="1" ht="42" customHeight="1" x14ac:dyDescent="0.25">
      <c r="A10" s="80" t="s">
        <v>141</v>
      </c>
      <c r="B10" s="103" t="s">
        <v>142</v>
      </c>
      <c r="C10" s="104" t="s">
        <v>143</v>
      </c>
      <c r="D10" s="104" t="s">
        <v>144</v>
      </c>
      <c r="E10" s="104" t="s">
        <v>145</v>
      </c>
      <c r="F10" s="11" t="s">
        <v>146</v>
      </c>
      <c r="G10" s="104" t="s">
        <v>147</v>
      </c>
      <c r="H10" s="106" t="s">
        <v>148</v>
      </c>
      <c r="I10" s="11" t="s">
        <v>149</v>
      </c>
      <c r="J10" s="104" t="s">
        <v>150</v>
      </c>
      <c r="K10" s="104" t="s">
        <v>151</v>
      </c>
      <c r="L10" s="106" t="s">
        <v>152</v>
      </c>
      <c r="M10" s="106" t="s">
        <v>153</v>
      </c>
      <c r="N10" s="104" t="s">
        <v>154</v>
      </c>
      <c r="O10" s="107" t="s">
        <v>155</v>
      </c>
      <c r="P10" s="106" t="s">
        <v>156</v>
      </c>
      <c r="Q10" s="27" t="s">
        <v>157</v>
      </c>
      <c r="R10" s="107" t="s">
        <v>158</v>
      </c>
      <c r="S10" s="107" t="s">
        <v>159</v>
      </c>
      <c r="T10" s="104" t="s">
        <v>160</v>
      </c>
      <c r="U10" s="104" t="s">
        <v>161</v>
      </c>
      <c r="V10" s="104" t="s">
        <v>162</v>
      </c>
      <c r="W10" s="104" t="s">
        <v>163</v>
      </c>
      <c r="X10" s="104" t="s">
        <v>164</v>
      </c>
      <c r="Y10" s="104" t="s">
        <v>165</v>
      </c>
      <c r="Z10" s="104" t="s">
        <v>166</v>
      </c>
      <c r="AA10" s="11" t="s">
        <v>167</v>
      </c>
      <c r="AB10" s="11" t="s">
        <v>168</v>
      </c>
      <c r="AC10" s="104" t="s">
        <v>169</v>
      </c>
      <c r="AD10" s="11" t="s">
        <v>170</v>
      </c>
      <c r="AE10" s="11" t="s">
        <v>171</v>
      </c>
      <c r="AF10" s="24" t="s">
        <v>172</v>
      </c>
      <c r="AG10" s="11" t="s">
        <v>173</v>
      </c>
      <c r="AH10" s="107" t="s">
        <v>174</v>
      </c>
      <c r="AI10" s="107" t="s">
        <v>175</v>
      </c>
      <c r="AJ10" s="107" t="s">
        <v>176</v>
      </c>
      <c r="AK10" s="107" t="s">
        <v>177</v>
      </c>
      <c r="AL10" s="107" t="s">
        <v>178</v>
      </c>
    </row>
    <row r="11" spans="1:38" s="4" customFormat="1" ht="15" customHeight="1" x14ac:dyDescent="0.25">
      <c r="A11" s="81"/>
      <c r="B11" s="76"/>
      <c r="C11" s="41"/>
      <c r="D11" s="41"/>
      <c r="E11" s="41"/>
      <c r="F11" s="41"/>
      <c r="G11" s="41"/>
      <c r="H11" s="41"/>
      <c r="I11" s="42"/>
      <c r="J11" s="41"/>
      <c r="K11" s="41"/>
      <c r="L11" s="41"/>
      <c r="M11" s="41"/>
      <c r="N11" s="42"/>
      <c r="O11" s="43"/>
      <c r="P11" s="41"/>
      <c r="Q11" s="44"/>
      <c r="R11" s="127"/>
      <c r="S11" s="43"/>
      <c r="T11" s="42"/>
      <c r="U11" s="42"/>
      <c r="V11" s="42"/>
      <c r="W11" s="42"/>
      <c r="X11" s="42"/>
      <c r="Y11" s="43"/>
      <c r="Z11" s="43"/>
      <c r="AA11" s="42"/>
      <c r="AB11" s="42"/>
      <c r="AC11" s="42"/>
      <c r="AD11" s="42"/>
      <c r="AE11" s="42"/>
      <c r="AF11" s="43"/>
      <c r="AG11" s="41"/>
      <c r="AH11" s="43"/>
      <c r="AI11" s="43"/>
      <c r="AJ11" s="42"/>
      <c r="AK11" s="42"/>
      <c r="AL11" s="42"/>
    </row>
    <row r="12" spans="1:38" s="4" customFormat="1" ht="97.5" customHeight="1" x14ac:dyDescent="0.25">
      <c r="A12" s="82" t="str">
        <f>CONCATENATE(B12,"-",C12,"-",E12,"-",F12)</f>
        <v>4.OG-4100-01-X</v>
      </c>
      <c r="B12" s="77" t="s">
        <v>179</v>
      </c>
      <c r="C12" s="45">
        <v>4100</v>
      </c>
      <c r="D12" s="47" t="s">
        <v>180</v>
      </c>
      <c r="E12" s="88" t="s">
        <v>181</v>
      </c>
      <c r="F12" s="46" t="s">
        <v>182</v>
      </c>
      <c r="G12" s="46">
        <v>1</v>
      </c>
      <c r="H12" s="47" t="s">
        <v>183</v>
      </c>
      <c r="I12" s="35" t="s">
        <v>184</v>
      </c>
      <c r="J12" s="35" t="s">
        <v>185</v>
      </c>
      <c r="K12" s="35" t="s">
        <v>186</v>
      </c>
      <c r="L12" s="46" t="s">
        <v>187</v>
      </c>
      <c r="M12" s="35" t="s">
        <v>188</v>
      </c>
      <c r="N12" s="46" t="s">
        <v>189</v>
      </c>
      <c r="O12" s="48" t="s">
        <v>130</v>
      </c>
      <c r="P12" s="49" t="s">
        <v>190</v>
      </c>
      <c r="Q12" s="52" t="s">
        <v>191</v>
      </c>
      <c r="R12" s="128"/>
      <c r="S12" s="128"/>
      <c r="T12" s="52" t="s">
        <v>191</v>
      </c>
      <c r="U12" s="50" t="s">
        <v>191</v>
      </c>
      <c r="V12" s="51" t="s">
        <v>191</v>
      </c>
      <c r="W12" s="37" t="s">
        <v>191</v>
      </c>
      <c r="X12" s="50" t="s">
        <v>191</v>
      </c>
      <c r="Y12" s="50" t="s">
        <v>191</v>
      </c>
      <c r="Z12" s="50" t="s">
        <v>191</v>
      </c>
      <c r="AA12" s="112" t="s">
        <v>191</v>
      </c>
      <c r="AB12" s="50"/>
      <c r="AC12" s="66" t="s">
        <v>191</v>
      </c>
      <c r="AD12" s="66" t="s">
        <v>191</v>
      </c>
      <c r="AE12" s="66" t="s">
        <v>191</v>
      </c>
      <c r="AF12" s="66" t="s">
        <v>191</v>
      </c>
      <c r="AG12" s="66" t="s">
        <v>191</v>
      </c>
      <c r="AH12" s="66" t="s">
        <v>191</v>
      </c>
      <c r="AI12" s="93" t="s">
        <v>191</v>
      </c>
      <c r="AJ12" s="52" t="s">
        <v>191</v>
      </c>
      <c r="AK12" s="52" t="s">
        <v>191</v>
      </c>
      <c r="AL12" s="38" t="s">
        <v>191</v>
      </c>
    </row>
    <row r="13" spans="1:38" s="4" customFormat="1" ht="97.5" customHeight="1" x14ac:dyDescent="0.25">
      <c r="A13" s="83" t="str">
        <f t="shared" ref="A13:A14" si="0">CONCATENATE(B13,"-",C13,"-",E13,"-",F13)</f>
        <v>4.OG-4100-01-1</v>
      </c>
      <c r="B13" s="78" t="str">
        <f>B12</f>
        <v>4.OG</v>
      </c>
      <c r="C13" s="34">
        <f>C12</f>
        <v>4100</v>
      </c>
      <c r="D13" s="8" t="str">
        <f>D12</f>
        <v>Dahlem</v>
      </c>
      <c r="E13" s="7" t="str">
        <f>E12</f>
        <v>01</v>
      </c>
      <c r="F13" s="7">
        <v>1</v>
      </c>
      <c r="G13" s="37" t="s">
        <v>191</v>
      </c>
      <c r="H13" s="38" t="s">
        <v>191</v>
      </c>
      <c r="I13" s="36" t="s">
        <v>191</v>
      </c>
      <c r="J13" s="36" t="s">
        <v>191</v>
      </c>
      <c r="K13" s="36" t="s">
        <v>191</v>
      </c>
      <c r="L13" s="36" t="s">
        <v>191</v>
      </c>
      <c r="M13" s="36" t="s">
        <v>191</v>
      </c>
      <c r="N13" s="37" t="s">
        <v>189</v>
      </c>
      <c r="O13" s="39" t="s">
        <v>191</v>
      </c>
      <c r="P13" s="40" t="s">
        <v>191</v>
      </c>
      <c r="Q13" s="16" t="s">
        <v>192</v>
      </c>
      <c r="R13" s="129" t="s">
        <v>182</v>
      </c>
      <c r="S13" s="129" t="s">
        <v>193</v>
      </c>
      <c r="T13" s="16" t="s">
        <v>194</v>
      </c>
      <c r="U13" s="108">
        <f>2*26</f>
        <v>52</v>
      </c>
      <c r="V13" s="14">
        <v>0.55000000000000004</v>
      </c>
      <c r="W13" s="111">
        <v>60</v>
      </c>
      <c r="X13" s="28" t="s">
        <v>195</v>
      </c>
      <c r="Y13" s="28" t="s">
        <v>191</v>
      </c>
      <c r="Z13" s="28" t="s">
        <v>191</v>
      </c>
      <c r="AA13" s="113">
        <v>16</v>
      </c>
      <c r="AB13" s="28">
        <v>4</v>
      </c>
      <c r="AC13" s="25">
        <f>AA13*AB13</f>
        <v>64</v>
      </c>
      <c r="AD13" s="119">
        <v>0.2</v>
      </c>
      <c r="AE13" s="25">
        <f>AC13*AD13</f>
        <v>12.8</v>
      </c>
      <c r="AF13" s="15">
        <f>AC13+AE13</f>
        <v>76.8</v>
      </c>
      <c r="AG13" s="7">
        <f>G12</f>
        <v>1</v>
      </c>
      <c r="AH13" s="15">
        <f>AF13*AG13</f>
        <v>76.8</v>
      </c>
      <c r="AI13" s="94" t="s">
        <v>196</v>
      </c>
      <c r="AJ13" s="16" t="s">
        <v>197</v>
      </c>
      <c r="AK13" s="16" t="s">
        <v>198</v>
      </c>
      <c r="AL13" s="17" t="s">
        <v>199</v>
      </c>
    </row>
    <row r="14" spans="1:38" s="4" customFormat="1" ht="97.5" customHeight="1" x14ac:dyDescent="0.25">
      <c r="A14" s="83" t="str">
        <f t="shared" si="0"/>
        <v>4.OG-4100-01-2</v>
      </c>
      <c r="B14" s="78" t="str">
        <f>B12</f>
        <v>4.OG</v>
      </c>
      <c r="C14" s="34">
        <f>C12</f>
        <v>4100</v>
      </c>
      <c r="D14" s="8" t="str">
        <f>D12</f>
        <v>Dahlem</v>
      </c>
      <c r="E14" s="7" t="str">
        <f>E12</f>
        <v>01</v>
      </c>
      <c r="F14" s="7">
        <v>2</v>
      </c>
      <c r="G14" s="37" t="s">
        <v>191</v>
      </c>
      <c r="H14" s="38" t="s">
        <v>191</v>
      </c>
      <c r="I14" s="36" t="s">
        <v>191</v>
      </c>
      <c r="J14" s="36" t="s">
        <v>191</v>
      </c>
      <c r="K14" s="36" t="s">
        <v>191</v>
      </c>
      <c r="L14" s="36" t="s">
        <v>191</v>
      </c>
      <c r="M14" s="36" t="s">
        <v>191</v>
      </c>
      <c r="N14" s="37"/>
      <c r="O14" s="39" t="s">
        <v>191</v>
      </c>
      <c r="P14" s="40" t="s">
        <v>191</v>
      </c>
      <c r="Q14" s="16" t="s">
        <v>200</v>
      </c>
      <c r="R14" s="129"/>
      <c r="S14" s="129" t="s">
        <v>193</v>
      </c>
      <c r="T14" s="16" t="s">
        <v>201</v>
      </c>
      <c r="U14" s="108">
        <v>70</v>
      </c>
      <c r="V14" s="14">
        <v>0.38</v>
      </c>
      <c r="W14" s="111">
        <v>50</v>
      </c>
      <c r="X14" s="28" t="s">
        <v>202</v>
      </c>
      <c r="Y14" s="28" t="s">
        <v>191</v>
      </c>
      <c r="Z14" s="28" t="s">
        <v>191</v>
      </c>
      <c r="AA14" s="113" t="s">
        <v>191</v>
      </c>
      <c r="AB14" s="28">
        <v>1</v>
      </c>
      <c r="AC14" s="25">
        <v>700</v>
      </c>
      <c r="AD14" s="119">
        <v>0.2</v>
      </c>
      <c r="AE14" s="25">
        <f>AC14*AD14</f>
        <v>140</v>
      </c>
      <c r="AF14" s="15">
        <f>AC14+AE14</f>
        <v>840</v>
      </c>
      <c r="AG14" s="7">
        <f>G12</f>
        <v>1</v>
      </c>
      <c r="AH14" s="15">
        <f>AF14*AG14</f>
        <v>840</v>
      </c>
      <c r="AI14" s="95" t="s">
        <v>203</v>
      </c>
      <c r="AJ14" s="16" t="s">
        <v>204</v>
      </c>
      <c r="AK14" s="16" t="s">
        <v>205</v>
      </c>
      <c r="AL14" s="18" t="s">
        <v>191</v>
      </c>
    </row>
    <row r="15" spans="1:38" s="4" customFormat="1" ht="15" customHeight="1" x14ac:dyDescent="0.25">
      <c r="A15" s="84"/>
      <c r="B15" s="79"/>
      <c r="C15" s="54"/>
      <c r="D15" s="56"/>
      <c r="E15" s="55"/>
      <c r="F15" s="55"/>
      <c r="G15" s="55"/>
      <c r="H15" s="56"/>
      <c r="I15" s="53"/>
      <c r="J15" s="53"/>
      <c r="K15" s="53"/>
      <c r="L15" s="53"/>
      <c r="M15" s="53"/>
      <c r="N15" s="55"/>
      <c r="O15" s="57"/>
      <c r="P15" s="58"/>
      <c r="Q15" s="63"/>
      <c r="R15" s="130"/>
      <c r="S15" s="59"/>
      <c r="T15" s="63"/>
      <c r="U15" s="63"/>
      <c r="V15" s="60"/>
      <c r="W15" s="60"/>
      <c r="X15" s="59"/>
      <c r="Y15" s="59"/>
      <c r="Z15" s="59"/>
      <c r="AA15" s="114"/>
      <c r="AB15" s="59"/>
      <c r="AC15" s="61"/>
      <c r="AD15" s="61"/>
      <c r="AE15" s="61"/>
      <c r="AF15" s="62"/>
      <c r="AG15" s="55"/>
      <c r="AH15" s="62"/>
      <c r="AI15" s="96"/>
      <c r="AJ15" s="63"/>
      <c r="AK15" s="63"/>
      <c r="AL15" s="64"/>
    </row>
    <row r="16" spans="1:38" s="4" customFormat="1" ht="97.5" customHeight="1" x14ac:dyDescent="0.25">
      <c r="A16" s="82" t="str">
        <f>CONCATENATE(B16,"-",C16,"-",E16,"-",F16)</f>
        <v>4.OG-4100-02-X</v>
      </c>
      <c r="B16" s="77" t="s">
        <v>179</v>
      </c>
      <c r="C16" s="45">
        <v>4100</v>
      </c>
      <c r="D16" s="47" t="s">
        <v>180</v>
      </c>
      <c r="E16" s="88" t="s">
        <v>206</v>
      </c>
      <c r="F16" s="46" t="s">
        <v>182</v>
      </c>
      <c r="G16" s="46">
        <v>6</v>
      </c>
      <c r="H16" s="47" t="s">
        <v>207</v>
      </c>
      <c r="I16" s="35" t="s">
        <v>184</v>
      </c>
      <c r="J16" s="35" t="s">
        <v>208</v>
      </c>
      <c r="K16" s="35" t="s">
        <v>209</v>
      </c>
      <c r="L16" s="35" t="s">
        <v>210</v>
      </c>
      <c r="M16" s="35" t="s">
        <v>191</v>
      </c>
      <c r="N16" s="46" t="s">
        <v>189</v>
      </c>
      <c r="O16" s="48" t="s">
        <v>116</v>
      </c>
      <c r="P16" s="47" t="s">
        <v>211</v>
      </c>
      <c r="Q16" s="97" t="s">
        <v>191</v>
      </c>
      <c r="R16" s="131"/>
      <c r="S16" s="131"/>
      <c r="T16" s="97" t="s">
        <v>191</v>
      </c>
      <c r="U16" s="50" t="s">
        <v>191</v>
      </c>
      <c r="V16" s="65" t="s">
        <v>191</v>
      </c>
      <c r="W16" s="66" t="s">
        <v>191</v>
      </c>
      <c r="X16" s="66" t="s">
        <v>191</v>
      </c>
      <c r="Y16" s="66"/>
      <c r="Z16" s="66"/>
      <c r="AA16" s="115" t="s">
        <v>191</v>
      </c>
      <c r="AB16" s="66"/>
      <c r="AC16" s="66" t="s">
        <v>191</v>
      </c>
      <c r="AD16" s="66" t="s">
        <v>191</v>
      </c>
      <c r="AE16" s="66" t="s">
        <v>191</v>
      </c>
      <c r="AF16" s="66" t="s">
        <v>191</v>
      </c>
      <c r="AG16" s="66" t="s">
        <v>191</v>
      </c>
      <c r="AH16" s="66" t="s">
        <v>191</v>
      </c>
      <c r="AI16" s="97" t="s">
        <v>191</v>
      </c>
      <c r="AJ16" s="97" t="s">
        <v>191</v>
      </c>
      <c r="AK16" s="97" t="s">
        <v>191</v>
      </c>
      <c r="AL16" s="65" t="s">
        <v>191</v>
      </c>
    </row>
    <row r="17" spans="1:38" s="4" customFormat="1" ht="97.5" customHeight="1" x14ac:dyDescent="0.25">
      <c r="A17" s="83" t="str">
        <f t="shared" ref="A17:A18" si="1">CONCATENATE(B17,"-",C17,"-",E17,"-",F17)</f>
        <v>4.OG-4100-02-1</v>
      </c>
      <c r="B17" s="78" t="str">
        <f>B16</f>
        <v>4.OG</v>
      </c>
      <c r="C17" s="34">
        <f>C16</f>
        <v>4100</v>
      </c>
      <c r="D17" s="8" t="str">
        <f>D16</f>
        <v>Dahlem</v>
      </c>
      <c r="E17" s="7" t="str">
        <f>E16</f>
        <v>02</v>
      </c>
      <c r="F17" s="7">
        <v>1</v>
      </c>
      <c r="G17" s="37" t="s">
        <v>191</v>
      </c>
      <c r="H17" s="36" t="s">
        <v>191</v>
      </c>
      <c r="I17" s="36" t="s">
        <v>191</v>
      </c>
      <c r="J17" s="36" t="s">
        <v>191</v>
      </c>
      <c r="K17" s="36" t="s">
        <v>191</v>
      </c>
      <c r="L17" s="36" t="s">
        <v>191</v>
      </c>
      <c r="M17" s="36" t="s">
        <v>191</v>
      </c>
      <c r="N17" s="37" t="s">
        <v>189</v>
      </c>
      <c r="O17" s="39" t="s">
        <v>191</v>
      </c>
      <c r="P17" s="36" t="s">
        <v>191</v>
      </c>
      <c r="Q17" s="16" t="s">
        <v>212</v>
      </c>
      <c r="R17" s="129" t="s">
        <v>182</v>
      </c>
      <c r="S17" s="129" t="s">
        <v>193</v>
      </c>
      <c r="T17" s="98" t="s">
        <v>191</v>
      </c>
      <c r="U17" s="108" t="s">
        <v>191</v>
      </c>
      <c r="V17" s="14" t="s">
        <v>191</v>
      </c>
      <c r="W17" s="111" t="s">
        <v>191</v>
      </c>
      <c r="X17" s="19" t="s">
        <v>191</v>
      </c>
      <c r="Y17" s="28" t="s">
        <v>191</v>
      </c>
      <c r="Z17" s="28" t="s">
        <v>191</v>
      </c>
      <c r="AA17" s="116" t="s">
        <v>191</v>
      </c>
      <c r="AB17" s="19" t="s">
        <v>191</v>
      </c>
      <c r="AC17" s="25" t="s">
        <v>191</v>
      </c>
      <c r="AD17" s="119" t="s">
        <v>191</v>
      </c>
      <c r="AE17" s="25" t="s">
        <v>191</v>
      </c>
      <c r="AF17" s="15" t="s">
        <v>191</v>
      </c>
      <c r="AG17" s="7" t="s">
        <v>191</v>
      </c>
      <c r="AH17" s="15" t="s">
        <v>191</v>
      </c>
      <c r="AI17" s="98" t="s">
        <v>213</v>
      </c>
      <c r="AJ17" s="98" t="s">
        <v>191</v>
      </c>
      <c r="AK17" s="99" t="s">
        <v>191</v>
      </c>
      <c r="AL17" s="18" t="s">
        <v>191</v>
      </c>
    </row>
    <row r="18" spans="1:38" s="4" customFormat="1" ht="97.5" customHeight="1" x14ac:dyDescent="0.25">
      <c r="A18" s="83" t="str">
        <f t="shared" si="1"/>
        <v>4.OG-4100-02-2</v>
      </c>
      <c r="B18" s="78" t="str">
        <f>B16</f>
        <v>4.OG</v>
      </c>
      <c r="C18" s="34">
        <f>C16</f>
        <v>4100</v>
      </c>
      <c r="D18" s="8" t="str">
        <f>D16</f>
        <v>Dahlem</v>
      </c>
      <c r="E18" s="7" t="str">
        <f>E16</f>
        <v>02</v>
      </c>
      <c r="F18" s="7">
        <v>2</v>
      </c>
      <c r="G18" s="37" t="s">
        <v>191</v>
      </c>
      <c r="H18" s="36"/>
      <c r="I18" s="36" t="s">
        <v>191</v>
      </c>
      <c r="J18" s="36" t="s">
        <v>191</v>
      </c>
      <c r="K18" s="36" t="s">
        <v>191</v>
      </c>
      <c r="L18" s="36" t="s">
        <v>191</v>
      </c>
      <c r="M18" s="36" t="s">
        <v>191</v>
      </c>
      <c r="N18" s="37"/>
      <c r="O18" s="39" t="s">
        <v>191</v>
      </c>
      <c r="P18" s="36" t="s">
        <v>191</v>
      </c>
      <c r="Q18" s="16" t="s">
        <v>200</v>
      </c>
      <c r="R18" s="129"/>
      <c r="S18" s="129" t="s">
        <v>193</v>
      </c>
      <c r="T18" s="99" t="s">
        <v>214</v>
      </c>
      <c r="U18" s="110">
        <v>10.199999999999999</v>
      </c>
      <c r="V18" s="14">
        <v>0.44</v>
      </c>
      <c r="W18" s="111">
        <v>50</v>
      </c>
      <c r="X18" s="72" t="s">
        <v>202</v>
      </c>
      <c r="Y18" s="28" t="s">
        <v>191</v>
      </c>
      <c r="Z18" s="28" t="s">
        <v>191</v>
      </c>
      <c r="AA18" s="117" t="s">
        <v>191</v>
      </c>
      <c r="AB18" s="72">
        <v>1</v>
      </c>
      <c r="AC18" s="25">
        <v>175</v>
      </c>
      <c r="AD18" s="119">
        <v>0.2</v>
      </c>
      <c r="AE18" s="25">
        <f>AC18*AD18</f>
        <v>35</v>
      </c>
      <c r="AF18" s="15">
        <f>AC18+AE18</f>
        <v>210</v>
      </c>
      <c r="AG18" s="7">
        <f>G16</f>
        <v>6</v>
      </c>
      <c r="AH18" s="15">
        <f>AF18*AG18</f>
        <v>1260</v>
      </c>
      <c r="AI18" s="99" t="s">
        <v>203</v>
      </c>
      <c r="AJ18" s="99" t="s">
        <v>215</v>
      </c>
      <c r="AK18" s="99" t="s">
        <v>216</v>
      </c>
      <c r="AL18" s="18" t="s">
        <v>191</v>
      </c>
    </row>
    <row r="19" spans="1:38" s="4" customFormat="1" ht="15" customHeight="1" x14ac:dyDescent="0.25">
      <c r="A19" s="84"/>
      <c r="B19" s="79"/>
      <c r="C19" s="54"/>
      <c r="D19" s="56"/>
      <c r="E19" s="55"/>
      <c r="F19" s="55"/>
      <c r="G19" s="55"/>
      <c r="H19" s="53"/>
      <c r="I19" s="53"/>
      <c r="J19" s="53"/>
      <c r="K19" s="53"/>
      <c r="L19" s="53"/>
      <c r="M19" s="53"/>
      <c r="N19" s="55"/>
      <c r="O19" s="57"/>
      <c r="P19" s="53"/>
      <c r="Q19" s="100"/>
      <c r="R19" s="132"/>
      <c r="S19" s="68"/>
      <c r="T19" s="100"/>
      <c r="U19" s="100"/>
      <c r="V19" s="67"/>
      <c r="W19" s="67"/>
      <c r="X19" s="68"/>
      <c r="Y19" s="68"/>
      <c r="Z19" s="68"/>
      <c r="AA19" s="118"/>
      <c r="AB19" s="68"/>
      <c r="AC19" s="67"/>
      <c r="AD19" s="67"/>
      <c r="AE19" s="67"/>
      <c r="AF19" s="67"/>
      <c r="AG19" s="55"/>
      <c r="AH19" s="67"/>
      <c r="AI19" s="100"/>
      <c r="AJ19" s="100"/>
      <c r="AK19" s="100"/>
      <c r="AL19" s="67"/>
    </row>
    <row r="20" spans="1:38" s="4" customFormat="1" ht="97.5" customHeight="1" x14ac:dyDescent="0.25">
      <c r="A20" s="82" t="str">
        <f>CONCATENATE(B20,"-",C20,"-",E20,"-",F20)</f>
        <v>4.OG-4210-01-X</v>
      </c>
      <c r="B20" s="77" t="s">
        <v>179</v>
      </c>
      <c r="C20" s="45">
        <v>4210</v>
      </c>
      <c r="D20" s="47" t="s">
        <v>217</v>
      </c>
      <c r="E20" s="88" t="s">
        <v>181</v>
      </c>
      <c r="F20" s="46" t="s">
        <v>182</v>
      </c>
      <c r="G20" s="46">
        <v>4</v>
      </c>
      <c r="H20" s="35" t="s">
        <v>218</v>
      </c>
      <c r="I20" s="35" t="s">
        <v>184</v>
      </c>
      <c r="J20" s="35" t="s">
        <v>185</v>
      </c>
      <c r="K20" s="35" t="s">
        <v>219</v>
      </c>
      <c r="L20" s="46" t="s">
        <v>220</v>
      </c>
      <c r="M20" s="35" t="s">
        <v>221</v>
      </c>
      <c r="N20" s="46" t="s">
        <v>189</v>
      </c>
      <c r="O20" s="48" t="s">
        <v>123</v>
      </c>
      <c r="P20" s="70" t="s">
        <v>222</v>
      </c>
      <c r="Q20" s="52" t="s">
        <v>191</v>
      </c>
      <c r="R20" s="128"/>
      <c r="S20" s="128"/>
      <c r="T20" s="52" t="s">
        <v>191</v>
      </c>
      <c r="U20" s="50" t="s">
        <v>191</v>
      </c>
      <c r="V20" s="71" t="s">
        <v>191</v>
      </c>
      <c r="W20" s="66" t="s">
        <v>191</v>
      </c>
      <c r="X20" s="50" t="s">
        <v>191</v>
      </c>
      <c r="Y20" s="38" t="s">
        <v>191</v>
      </c>
      <c r="Z20" s="38" t="s">
        <v>191</v>
      </c>
      <c r="AA20" s="115" t="s">
        <v>191</v>
      </c>
      <c r="AB20" s="66"/>
      <c r="AC20" s="66" t="s">
        <v>191</v>
      </c>
      <c r="AD20" s="66" t="s">
        <v>191</v>
      </c>
      <c r="AE20" s="66" t="s">
        <v>191</v>
      </c>
      <c r="AF20" s="66" t="s">
        <v>191</v>
      </c>
      <c r="AG20" s="66" t="s">
        <v>191</v>
      </c>
      <c r="AH20" s="66" t="s">
        <v>191</v>
      </c>
      <c r="AI20" s="93" t="s">
        <v>191</v>
      </c>
      <c r="AJ20" s="97" t="s">
        <v>191</v>
      </c>
      <c r="AK20" s="52" t="s">
        <v>191</v>
      </c>
      <c r="AL20" s="38" t="s">
        <v>191</v>
      </c>
    </row>
    <row r="21" spans="1:38" s="4" customFormat="1" ht="97.5" customHeight="1" x14ac:dyDescent="0.25">
      <c r="A21" s="83" t="str">
        <f t="shared" ref="A21:A22" si="2">CONCATENATE(B21,"-",C21,"-",E21,"-",F21)</f>
        <v>4.OG-4210-01-1</v>
      </c>
      <c r="B21" s="78" t="str">
        <f>B20</f>
        <v>4.OG</v>
      </c>
      <c r="C21" s="34">
        <f>C20</f>
        <v>4210</v>
      </c>
      <c r="D21" s="8" t="str">
        <f>D20</f>
        <v>Pausenraum</v>
      </c>
      <c r="E21" s="7" t="str">
        <f>E20</f>
        <v>01</v>
      </c>
      <c r="F21" s="7">
        <v>1</v>
      </c>
      <c r="G21" s="37" t="s">
        <v>191</v>
      </c>
      <c r="H21" s="36" t="s">
        <v>191</v>
      </c>
      <c r="I21" s="36" t="s">
        <v>191</v>
      </c>
      <c r="J21" s="36" t="s">
        <v>191</v>
      </c>
      <c r="K21" s="36" t="s">
        <v>191</v>
      </c>
      <c r="L21" s="36" t="s">
        <v>191</v>
      </c>
      <c r="M21" s="36" t="s">
        <v>191</v>
      </c>
      <c r="N21" s="37" t="s">
        <v>189</v>
      </c>
      <c r="O21" s="39" t="s">
        <v>191</v>
      </c>
      <c r="P21" s="36" t="s">
        <v>191</v>
      </c>
      <c r="Q21" s="16" t="s">
        <v>192</v>
      </c>
      <c r="R21" s="129" t="s">
        <v>182</v>
      </c>
      <c r="S21" s="129" t="s">
        <v>193</v>
      </c>
      <c r="T21" s="16" t="s">
        <v>223</v>
      </c>
      <c r="U21" s="110">
        <v>4.4000000000000004</v>
      </c>
      <c r="V21" s="26">
        <v>0.9</v>
      </c>
      <c r="W21" s="111">
        <v>25</v>
      </c>
      <c r="X21" s="28" t="s">
        <v>224</v>
      </c>
      <c r="Y21" s="28" t="s">
        <v>191</v>
      </c>
      <c r="Z21" s="28" t="s">
        <v>191</v>
      </c>
      <c r="AA21" s="116">
        <v>15</v>
      </c>
      <c r="AB21" s="19">
        <v>1</v>
      </c>
      <c r="AC21" s="25">
        <f>AA21*AB21</f>
        <v>15</v>
      </c>
      <c r="AD21" s="119">
        <v>0.2</v>
      </c>
      <c r="AE21" s="25">
        <f>AC21*AD21</f>
        <v>3</v>
      </c>
      <c r="AF21" s="15">
        <f>AC21+AE21</f>
        <v>18</v>
      </c>
      <c r="AG21" s="7">
        <f>G20</f>
        <v>4</v>
      </c>
      <c r="AH21" s="15">
        <f>AF21*AG21</f>
        <v>72</v>
      </c>
      <c r="AI21" s="94" t="s">
        <v>213</v>
      </c>
      <c r="AJ21" s="99" t="s">
        <v>203</v>
      </c>
      <c r="AK21" s="16" t="s">
        <v>225</v>
      </c>
      <c r="AL21" s="17" t="s">
        <v>226</v>
      </c>
    </row>
    <row r="22" spans="1:38" s="4" customFormat="1" ht="97.5" customHeight="1" x14ac:dyDescent="0.25">
      <c r="A22" s="83" t="str">
        <f t="shared" si="2"/>
        <v>4.OG-4210-01-2</v>
      </c>
      <c r="B22" s="78" t="str">
        <f>B20</f>
        <v>4.OG</v>
      </c>
      <c r="C22" s="34">
        <f>C20</f>
        <v>4210</v>
      </c>
      <c r="D22" s="8" t="str">
        <f>D20</f>
        <v>Pausenraum</v>
      </c>
      <c r="E22" s="7" t="str">
        <f>E20</f>
        <v>01</v>
      </c>
      <c r="F22" s="7">
        <v>2</v>
      </c>
      <c r="G22" s="37" t="s">
        <v>191</v>
      </c>
      <c r="H22" s="36"/>
      <c r="I22" s="36" t="s">
        <v>191</v>
      </c>
      <c r="J22" s="36" t="s">
        <v>191</v>
      </c>
      <c r="K22" s="36" t="s">
        <v>191</v>
      </c>
      <c r="L22" s="36" t="s">
        <v>191</v>
      </c>
      <c r="M22" s="36" t="s">
        <v>191</v>
      </c>
      <c r="N22" s="37"/>
      <c r="O22" s="39" t="s">
        <v>191</v>
      </c>
      <c r="P22" s="36" t="s">
        <v>191</v>
      </c>
      <c r="Q22" s="16" t="s">
        <v>200</v>
      </c>
      <c r="R22" s="129"/>
      <c r="S22" s="129" t="s">
        <v>193</v>
      </c>
      <c r="T22" s="16" t="s">
        <v>227</v>
      </c>
      <c r="U22" s="108">
        <v>9</v>
      </c>
      <c r="V22" s="26">
        <v>0.81</v>
      </c>
      <c r="W22" s="111">
        <v>50</v>
      </c>
      <c r="X22" s="28" t="s">
        <v>202</v>
      </c>
      <c r="Y22" s="28" t="s">
        <v>191</v>
      </c>
      <c r="Z22" s="28" t="s">
        <v>191</v>
      </c>
      <c r="AA22" s="117" t="s">
        <v>191</v>
      </c>
      <c r="AB22" s="72">
        <v>1</v>
      </c>
      <c r="AC22" s="25">
        <v>787.5</v>
      </c>
      <c r="AD22" s="119">
        <v>0.2</v>
      </c>
      <c r="AE22" s="25">
        <f>AC22*AD22</f>
        <v>157.5</v>
      </c>
      <c r="AF22" s="15">
        <f>AC22+AE22</f>
        <v>945</v>
      </c>
      <c r="AG22" s="7">
        <f>G20</f>
        <v>4</v>
      </c>
      <c r="AH22" s="15">
        <f>AF22*AG22</f>
        <v>3780</v>
      </c>
      <c r="AI22" s="94" t="s">
        <v>191</v>
      </c>
      <c r="AJ22" s="99" t="s">
        <v>204</v>
      </c>
      <c r="AK22" s="16" t="s">
        <v>228</v>
      </c>
      <c r="AL22" s="8" t="s">
        <v>191</v>
      </c>
    </row>
    <row r="23" spans="1:38" s="4" customFormat="1" ht="14.25" customHeight="1" x14ac:dyDescent="0.25">
      <c r="A23" s="84"/>
      <c r="B23" s="79"/>
      <c r="C23" s="53"/>
      <c r="D23" s="56"/>
      <c r="E23" s="55"/>
      <c r="F23" s="55"/>
      <c r="G23" s="55"/>
      <c r="H23" s="53"/>
      <c r="I23" s="53"/>
      <c r="J23" s="53"/>
      <c r="K23" s="53"/>
      <c r="L23" s="53"/>
      <c r="M23" s="53"/>
      <c r="N23" s="55"/>
      <c r="O23" s="57"/>
      <c r="P23" s="53"/>
      <c r="Q23" s="63"/>
      <c r="R23" s="130"/>
      <c r="S23" s="59"/>
      <c r="T23" s="63"/>
      <c r="U23" s="63"/>
      <c r="V23" s="69"/>
      <c r="W23" s="69"/>
      <c r="X23" s="59"/>
      <c r="Y23" s="56"/>
      <c r="Z23" s="56"/>
      <c r="AA23" s="114"/>
      <c r="AB23" s="59"/>
      <c r="AC23" s="56"/>
      <c r="AD23" s="56"/>
      <c r="AE23" s="56"/>
      <c r="AF23" s="62"/>
      <c r="AG23" s="55"/>
      <c r="AH23" s="62"/>
      <c r="AI23" s="101"/>
      <c r="AJ23" s="100"/>
      <c r="AK23" s="63"/>
      <c r="AL23" s="56"/>
    </row>
    <row r="24" spans="1:38" s="4" customFormat="1" ht="97.5" customHeight="1" x14ac:dyDescent="0.25">
      <c r="A24" s="82" t="str">
        <f>CONCATENATE(B24,"-",C24,"-",E24,"-",F24)</f>
        <v>4.OG-4210-02-X</v>
      </c>
      <c r="B24" s="77" t="s">
        <v>179</v>
      </c>
      <c r="C24" s="45">
        <v>4210</v>
      </c>
      <c r="D24" s="47" t="s">
        <v>217</v>
      </c>
      <c r="E24" s="88" t="s">
        <v>206</v>
      </c>
      <c r="F24" s="46" t="s">
        <v>182</v>
      </c>
      <c r="G24" s="46">
        <v>4</v>
      </c>
      <c r="H24" s="47" t="s">
        <v>229</v>
      </c>
      <c r="I24" s="35" t="s">
        <v>230</v>
      </c>
      <c r="J24" s="35" t="s">
        <v>231</v>
      </c>
      <c r="K24" s="35" t="s">
        <v>209</v>
      </c>
      <c r="L24" s="46" t="s">
        <v>232</v>
      </c>
      <c r="M24" s="35" t="s">
        <v>191</v>
      </c>
      <c r="N24" s="46" t="s">
        <v>189</v>
      </c>
      <c r="O24" s="48" t="s">
        <v>135</v>
      </c>
      <c r="P24" s="70" t="s">
        <v>233</v>
      </c>
      <c r="Q24" s="52" t="s">
        <v>191</v>
      </c>
      <c r="R24" s="128"/>
      <c r="S24" s="128"/>
      <c r="T24" s="52" t="s">
        <v>191</v>
      </c>
      <c r="U24" s="50" t="s">
        <v>191</v>
      </c>
      <c r="V24" s="71" t="s">
        <v>191</v>
      </c>
      <c r="W24" s="66" t="s">
        <v>191</v>
      </c>
      <c r="X24" s="50" t="s">
        <v>191</v>
      </c>
      <c r="Y24" s="38" t="s">
        <v>191</v>
      </c>
      <c r="Z24" s="38" t="s">
        <v>191</v>
      </c>
      <c r="AA24" s="115" t="s">
        <v>191</v>
      </c>
      <c r="AB24" s="66"/>
      <c r="AC24" s="66" t="s">
        <v>191</v>
      </c>
      <c r="AD24" s="66" t="s">
        <v>191</v>
      </c>
      <c r="AE24" s="66" t="s">
        <v>191</v>
      </c>
      <c r="AF24" s="66" t="s">
        <v>191</v>
      </c>
      <c r="AG24" s="66" t="s">
        <v>191</v>
      </c>
      <c r="AH24" s="66" t="s">
        <v>191</v>
      </c>
      <c r="AI24" s="93" t="s">
        <v>191</v>
      </c>
      <c r="AJ24" s="97" t="s">
        <v>191</v>
      </c>
      <c r="AK24" s="52" t="s">
        <v>191</v>
      </c>
      <c r="AL24" s="38" t="s">
        <v>191</v>
      </c>
    </row>
    <row r="25" spans="1:38" s="4" customFormat="1" ht="97.5" customHeight="1" x14ac:dyDescent="0.25">
      <c r="A25" s="83" t="str">
        <f t="shared" ref="A25:A26" si="3">CONCATENATE(B25,"-",C25,"-",E25,"-",F25)</f>
        <v>4.OG-4210-02-1</v>
      </c>
      <c r="B25" s="78" t="str">
        <f>B24</f>
        <v>4.OG</v>
      </c>
      <c r="C25" s="34">
        <f>C24</f>
        <v>4210</v>
      </c>
      <c r="D25" s="8" t="str">
        <f>D24</f>
        <v>Pausenraum</v>
      </c>
      <c r="E25" s="7" t="str">
        <f>E24</f>
        <v>02</v>
      </c>
      <c r="F25" s="7">
        <v>1</v>
      </c>
      <c r="G25" s="37" t="s">
        <v>191</v>
      </c>
      <c r="H25" s="36" t="s">
        <v>191</v>
      </c>
      <c r="I25" s="36" t="s">
        <v>191</v>
      </c>
      <c r="J25" s="36" t="s">
        <v>191</v>
      </c>
      <c r="K25" s="36" t="s">
        <v>191</v>
      </c>
      <c r="L25" s="36" t="s">
        <v>191</v>
      </c>
      <c r="M25" s="36" t="s">
        <v>191</v>
      </c>
      <c r="N25" s="37" t="s">
        <v>189</v>
      </c>
      <c r="O25" s="39" t="s">
        <v>191</v>
      </c>
      <c r="P25" s="36" t="s">
        <v>191</v>
      </c>
      <c r="Q25" s="16" t="s">
        <v>200</v>
      </c>
      <c r="R25" s="129" t="s">
        <v>182</v>
      </c>
      <c r="S25" s="129" t="s">
        <v>193</v>
      </c>
      <c r="T25" s="99" t="s">
        <v>234</v>
      </c>
      <c r="U25" s="108">
        <v>4</v>
      </c>
      <c r="V25" s="26">
        <v>0.23</v>
      </c>
      <c r="W25" s="111">
        <v>60</v>
      </c>
      <c r="X25" s="28" t="s">
        <v>235</v>
      </c>
      <c r="Y25" s="28" t="s">
        <v>191</v>
      </c>
      <c r="Z25" s="28" t="s">
        <v>191</v>
      </c>
      <c r="AA25" s="116">
        <v>65</v>
      </c>
      <c r="AB25" s="19">
        <v>1</v>
      </c>
      <c r="AC25" s="25">
        <f>AA25*AB25</f>
        <v>65</v>
      </c>
      <c r="AD25" s="119">
        <v>0.2</v>
      </c>
      <c r="AE25" s="25">
        <f>AC25*AD25</f>
        <v>13</v>
      </c>
      <c r="AF25" s="15">
        <v>312</v>
      </c>
      <c r="AG25" s="7">
        <f>G24</f>
        <v>4</v>
      </c>
      <c r="AH25" s="15">
        <f>AF25*AG25</f>
        <v>1248</v>
      </c>
      <c r="AI25" s="102" t="s">
        <v>236</v>
      </c>
      <c r="AJ25" s="99" t="s">
        <v>237</v>
      </c>
      <c r="AK25" s="99" t="s">
        <v>238</v>
      </c>
      <c r="AL25" s="8" t="s">
        <v>191</v>
      </c>
    </row>
    <row r="26" spans="1:38" s="4" customFormat="1" ht="97.5" customHeight="1" x14ac:dyDescent="0.25">
      <c r="A26" s="83" t="str">
        <f t="shared" si="3"/>
        <v>4.OG-4210-02-2</v>
      </c>
      <c r="B26" s="78" t="str">
        <f>B24</f>
        <v>4.OG</v>
      </c>
      <c r="C26" s="34">
        <f>C24</f>
        <v>4210</v>
      </c>
      <c r="D26" s="8" t="str">
        <f>D24</f>
        <v>Pausenraum</v>
      </c>
      <c r="E26" s="7" t="str">
        <f>E24</f>
        <v>02</v>
      </c>
      <c r="F26" s="7">
        <v>2</v>
      </c>
      <c r="G26" s="37" t="s">
        <v>191</v>
      </c>
      <c r="H26" s="36"/>
      <c r="I26" s="36" t="s">
        <v>191</v>
      </c>
      <c r="J26" s="36" t="s">
        <v>191</v>
      </c>
      <c r="K26" s="36" t="s">
        <v>191</v>
      </c>
      <c r="L26" s="36" t="s">
        <v>191</v>
      </c>
      <c r="M26" s="36" t="s">
        <v>191</v>
      </c>
      <c r="N26" s="37"/>
      <c r="O26" s="39" t="s">
        <v>191</v>
      </c>
      <c r="P26" s="36" t="s">
        <v>191</v>
      </c>
      <c r="Q26" s="16" t="s">
        <v>191</v>
      </c>
      <c r="R26" s="129"/>
      <c r="S26" s="129" t="s">
        <v>193</v>
      </c>
      <c r="T26" s="16" t="s">
        <v>191</v>
      </c>
      <c r="U26" s="108" t="s">
        <v>191</v>
      </c>
      <c r="V26" s="26" t="s">
        <v>191</v>
      </c>
      <c r="W26" s="111" t="s">
        <v>191</v>
      </c>
      <c r="X26" s="28" t="s">
        <v>191</v>
      </c>
      <c r="Y26" s="28" t="s">
        <v>191</v>
      </c>
      <c r="Z26" s="28" t="s">
        <v>191</v>
      </c>
      <c r="AA26" s="117" t="s">
        <v>191</v>
      </c>
      <c r="AB26" s="72" t="s">
        <v>191</v>
      </c>
      <c r="AC26" s="25" t="s">
        <v>191</v>
      </c>
      <c r="AD26" s="119" t="s">
        <v>191</v>
      </c>
      <c r="AE26" s="25" t="s">
        <v>191</v>
      </c>
      <c r="AF26" s="15" t="s">
        <v>191</v>
      </c>
      <c r="AG26" s="7" t="s">
        <v>191</v>
      </c>
      <c r="AH26" s="15" t="s">
        <v>191</v>
      </c>
      <c r="AI26" s="94" t="s">
        <v>191</v>
      </c>
      <c r="AJ26" s="98" t="s">
        <v>191</v>
      </c>
      <c r="AK26" s="16" t="s">
        <v>191</v>
      </c>
      <c r="AL26" s="8" t="s">
        <v>191</v>
      </c>
    </row>
    <row r="27" spans="1:38" s="4" customFormat="1" ht="14.25" customHeight="1" x14ac:dyDescent="0.25">
      <c r="A27" s="84"/>
      <c r="B27" s="79"/>
      <c r="C27" s="53"/>
      <c r="D27" s="56"/>
      <c r="E27" s="55"/>
      <c r="F27" s="55"/>
      <c r="G27" s="55"/>
      <c r="H27" s="53"/>
      <c r="I27" s="53"/>
      <c r="J27" s="53"/>
      <c r="K27" s="53"/>
      <c r="L27" s="53"/>
      <c r="M27" s="53"/>
      <c r="N27" s="55"/>
      <c r="O27" s="57"/>
      <c r="P27" s="53"/>
      <c r="Q27" s="63"/>
      <c r="R27" s="130"/>
      <c r="S27" s="59"/>
      <c r="T27" s="63"/>
      <c r="U27" s="63"/>
      <c r="V27" s="69"/>
      <c r="W27" s="69"/>
      <c r="X27" s="59"/>
      <c r="Y27" s="56"/>
      <c r="Z27" s="56"/>
      <c r="AA27" s="114"/>
      <c r="AB27" s="59"/>
      <c r="AC27" s="56"/>
      <c r="AD27" s="56"/>
      <c r="AE27" s="56"/>
      <c r="AF27" s="62"/>
      <c r="AG27" s="55"/>
      <c r="AH27" s="62"/>
      <c r="AI27" s="101"/>
      <c r="AJ27" s="100"/>
      <c r="AK27" s="63"/>
      <c r="AL27" s="56"/>
    </row>
    <row r="28" spans="1:38" s="4" customFormat="1" ht="97.5" customHeight="1" x14ac:dyDescent="0.25">
      <c r="A28" s="82" t="str">
        <f>CONCATENATE(B28,"-",C28,"-",E28,"-",F28)</f>
        <v>4.OG-4210-03-X</v>
      </c>
      <c r="B28" s="77" t="s">
        <v>179</v>
      </c>
      <c r="C28" s="45">
        <v>4210</v>
      </c>
      <c r="D28" s="47" t="s">
        <v>217</v>
      </c>
      <c r="E28" s="88" t="s">
        <v>239</v>
      </c>
      <c r="F28" s="46" t="s">
        <v>182</v>
      </c>
      <c r="G28" s="46">
        <v>13</v>
      </c>
      <c r="H28" s="47" t="s">
        <v>240</v>
      </c>
      <c r="I28" s="35" t="s">
        <v>184</v>
      </c>
      <c r="J28" s="35" t="s">
        <v>241</v>
      </c>
      <c r="K28" s="35" t="s">
        <v>209</v>
      </c>
      <c r="L28" s="46" t="s">
        <v>242</v>
      </c>
      <c r="M28" s="35" t="s">
        <v>191</v>
      </c>
      <c r="N28" s="46" t="s">
        <v>189</v>
      </c>
      <c r="O28" s="48" t="s">
        <v>116</v>
      </c>
      <c r="P28" s="70" t="s">
        <v>243</v>
      </c>
      <c r="Q28" s="52" t="s">
        <v>191</v>
      </c>
      <c r="R28" s="128"/>
      <c r="S28" s="128"/>
      <c r="T28" s="52" t="s">
        <v>191</v>
      </c>
      <c r="U28" s="50" t="s">
        <v>191</v>
      </c>
      <c r="V28" s="71" t="s">
        <v>191</v>
      </c>
      <c r="W28" s="66" t="s">
        <v>191</v>
      </c>
      <c r="X28" s="50" t="s">
        <v>191</v>
      </c>
      <c r="Y28" s="38" t="s">
        <v>191</v>
      </c>
      <c r="Z28" s="38" t="s">
        <v>191</v>
      </c>
      <c r="AA28" s="115" t="s">
        <v>191</v>
      </c>
      <c r="AB28" s="66"/>
      <c r="AC28" s="66" t="s">
        <v>191</v>
      </c>
      <c r="AD28" s="66" t="s">
        <v>191</v>
      </c>
      <c r="AE28" s="66" t="s">
        <v>191</v>
      </c>
      <c r="AF28" s="66" t="s">
        <v>191</v>
      </c>
      <c r="AG28" s="66" t="s">
        <v>191</v>
      </c>
      <c r="AH28" s="66" t="s">
        <v>191</v>
      </c>
      <c r="AI28" s="93" t="s">
        <v>191</v>
      </c>
      <c r="AJ28" s="97" t="s">
        <v>191</v>
      </c>
      <c r="AK28" s="52" t="s">
        <v>191</v>
      </c>
      <c r="AL28" s="38" t="s">
        <v>191</v>
      </c>
    </row>
    <row r="29" spans="1:38" s="4" customFormat="1" ht="97.5" customHeight="1" x14ac:dyDescent="0.25">
      <c r="A29" s="83" t="str">
        <f t="shared" ref="A29:A30" si="4">CONCATENATE(B29,"-",C29,"-",E29,"-",F29)</f>
        <v>4.OG-4210-03-1</v>
      </c>
      <c r="B29" s="78" t="str">
        <f>B28</f>
        <v>4.OG</v>
      </c>
      <c r="C29" s="34">
        <f>C28</f>
        <v>4210</v>
      </c>
      <c r="D29" s="8" t="str">
        <f>D28</f>
        <v>Pausenraum</v>
      </c>
      <c r="E29" s="7" t="str">
        <f>E28</f>
        <v>03</v>
      </c>
      <c r="F29" s="7">
        <v>1</v>
      </c>
      <c r="G29" s="37" t="s">
        <v>191</v>
      </c>
      <c r="H29" s="36" t="s">
        <v>191</v>
      </c>
      <c r="I29" s="36" t="s">
        <v>191</v>
      </c>
      <c r="J29" s="36" t="s">
        <v>191</v>
      </c>
      <c r="K29" s="36" t="s">
        <v>191</v>
      </c>
      <c r="L29" s="36" t="s">
        <v>191</v>
      </c>
      <c r="M29" s="36" t="s">
        <v>191</v>
      </c>
      <c r="N29" s="37" t="s">
        <v>189</v>
      </c>
      <c r="O29" s="39" t="s">
        <v>191</v>
      </c>
      <c r="P29" s="36" t="s">
        <v>191</v>
      </c>
      <c r="Q29" s="16" t="s">
        <v>191</v>
      </c>
      <c r="R29" s="129" t="s">
        <v>193</v>
      </c>
      <c r="S29" s="129" t="s">
        <v>193</v>
      </c>
      <c r="T29" s="99" t="s">
        <v>191</v>
      </c>
      <c r="U29" s="109" t="s">
        <v>191</v>
      </c>
      <c r="V29" s="26" t="s">
        <v>191</v>
      </c>
      <c r="W29" s="111" t="s">
        <v>191</v>
      </c>
      <c r="X29" s="28" t="s">
        <v>191</v>
      </c>
      <c r="Y29" s="28" t="s">
        <v>191</v>
      </c>
      <c r="Z29" s="28" t="s">
        <v>191</v>
      </c>
      <c r="AA29" s="116" t="s">
        <v>191</v>
      </c>
      <c r="AB29" s="19" t="s">
        <v>191</v>
      </c>
      <c r="AC29" s="25" t="s">
        <v>191</v>
      </c>
      <c r="AD29" s="119" t="s">
        <v>191</v>
      </c>
      <c r="AE29" s="25" t="s">
        <v>191</v>
      </c>
      <c r="AF29" s="15" t="s">
        <v>191</v>
      </c>
      <c r="AG29" s="7">
        <f>G28</f>
        <v>13</v>
      </c>
      <c r="AH29" s="15" t="s">
        <v>191</v>
      </c>
      <c r="AI29" s="102" t="s">
        <v>191</v>
      </c>
      <c r="AJ29" s="99" t="s">
        <v>191</v>
      </c>
      <c r="AK29" s="99" t="s">
        <v>191</v>
      </c>
      <c r="AL29" s="8" t="s">
        <v>191</v>
      </c>
    </row>
    <row r="30" spans="1:38" s="4" customFormat="1" ht="97.5" customHeight="1" x14ac:dyDescent="0.25">
      <c r="A30" s="83" t="str">
        <f t="shared" si="4"/>
        <v>4.OG-4210-03-2</v>
      </c>
      <c r="B30" s="78" t="str">
        <f>B28</f>
        <v>4.OG</v>
      </c>
      <c r="C30" s="34">
        <f>C28</f>
        <v>4210</v>
      </c>
      <c r="D30" s="8" t="str">
        <f>D28</f>
        <v>Pausenraum</v>
      </c>
      <c r="E30" s="7" t="str">
        <f>E28</f>
        <v>03</v>
      </c>
      <c r="F30" s="7">
        <v>2</v>
      </c>
      <c r="G30" s="37" t="s">
        <v>191</v>
      </c>
      <c r="H30" s="36"/>
      <c r="I30" s="36" t="s">
        <v>191</v>
      </c>
      <c r="J30" s="36" t="s">
        <v>191</v>
      </c>
      <c r="K30" s="36" t="s">
        <v>191</v>
      </c>
      <c r="L30" s="36" t="s">
        <v>191</v>
      </c>
      <c r="M30" s="36" t="s">
        <v>191</v>
      </c>
      <c r="N30" s="37"/>
      <c r="O30" s="39" t="s">
        <v>191</v>
      </c>
      <c r="P30" s="36" t="s">
        <v>191</v>
      </c>
      <c r="Q30" s="16" t="s">
        <v>191</v>
      </c>
      <c r="R30" s="129" t="s">
        <v>193</v>
      </c>
      <c r="S30" s="129" t="s">
        <v>193</v>
      </c>
      <c r="T30" s="16" t="s">
        <v>191</v>
      </c>
      <c r="U30" s="109" t="s">
        <v>191</v>
      </c>
      <c r="V30" s="26" t="s">
        <v>191</v>
      </c>
      <c r="W30" s="111" t="s">
        <v>191</v>
      </c>
      <c r="X30" s="28" t="s">
        <v>191</v>
      </c>
      <c r="Y30" s="28" t="s">
        <v>191</v>
      </c>
      <c r="Z30" s="28" t="s">
        <v>191</v>
      </c>
      <c r="AA30" s="117" t="s">
        <v>191</v>
      </c>
      <c r="AB30" s="72" t="s">
        <v>191</v>
      </c>
      <c r="AC30" s="25" t="s">
        <v>191</v>
      </c>
      <c r="AD30" s="119" t="s">
        <v>191</v>
      </c>
      <c r="AE30" s="25" t="s">
        <v>191</v>
      </c>
      <c r="AF30" s="15" t="s">
        <v>191</v>
      </c>
      <c r="AG30" s="7">
        <f>G28</f>
        <v>13</v>
      </c>
      <c r="AH30" s="15" t="s">
        <v>191</v>
      </c>
      <c r="AI30" s="94" t="s">
        <v>191</v>
      </c>
      <c r="AJ30" s="98" t="s">
        <v>191</v>
      </c>
      <c r="AK30" s="16" t="s">
        <v>191</v>
      </c>
      <c r="AL30" s="8" t="s">
        <v>191</v>
      </c>
    </row>
    <row r="31" spans="1:38" s="4" customFormat="1" ht="14.25" customHeight="1" x14ac:dyDescent="0.25">
      <c r="A31" s="84"/>
      <c r="B31" s="79"/>
      <c r="C31" s="53"/>
      <c r="D31" s="56"/>
      <c r="E31" s="55"/>
      <c r="F31" s="55"/>
      <c r="G31" s="55"/>
      <c r="H31" s="53"/>
      <c r="I31" s="53"/>
      <c r="J31" s="53"/>
      <c r="K31" s="53"/>
      <c r="L31" s="53"/>
      <c r="M31" s="53"/>
      <c r="N31" s="55"/>
      <c r="O31" s="57"/>
      <c r="P31" s="53"/>
      <c r="Q31" s="63"/>
      <c r="R31" s="130"/>
      <c r="S31" s="59"/>
      <c r="T31" s="63"/>
      <c r="U31" s="63"/>
      <c r="V31" s="69"/>
      <c r="W31" s="69"/>
      <c r="X31" s="59"/>
      <c r="Y31" s="56"/>
      <c r="Z31" s="56"/>
      <c r="AA31" s="114"/>
      <c r="AB31" s="59"/>
      <c r="AC31" s="56"/>
      <c r="AD31" s="56"/>
      <c r="AE31" s="56"/>
      <c r="AF31" s="62"/>
      <c r="AG31" s="55"/>
      <c r="AH31" s="62"/>
      <c r="AI31" s="101"/>
      <c r="AJ31" s="100"/>
      <c r="AK31" s="63"/>
      <c r="AL31" s="56"/>
    </row>
    <row r="32" spans="1:38" s="4" customFormat="1" ht="97.5" customHeight="1" x14ac:dyDescent="0.25">
      <c r="A32" s="82" t="str">
        <f>CONCATENATE(B32,"-",C32,"-",E32,"-",F32)</f>
        <v>4.OG-4006-01-X</v>
      </c>
      <c r="B32" s="77" t="s">
        <v>179</v>
      </c>
      <c r="C32" s="45">
        <v>4006</v>
      </c>
      <c r="D32" s="47" t="s">
        <v>244</v>
      </c>
      <c r="E32" s="88" t="s">
        <v>181</v>
      </c>
      <c r="F32" s="46" t="s">
        <v>182</v>
      </c>
      <c r="G32" s="46">
        <v>2</v>
      </c>
      <c r="H32" s="47" t="s">
        <v>245</v>
      </c>
      <c r="I32" s="35" t="s">
        <v>184</v>
      </c>
      <c r="J32" s="35" t="s">
        <v>185</v>
      </c>
      <c r="K32" s="35" t="s">
        <v>186</v>
      </c>
      <c r="L32" s="46" t="s">
        <v>246</v>
      </c>
      <c r="M32" s="35" t="s">
        <v>188</v>
      </c>
      <c r="N32" s="46" t="s">
        <v>189</v>
      </c>
      <c r="O32" s="48" t="s">
        <v>125</v>
      </c>
      <c r="P32" s="70" t="s">
        <v>247</v>
      </c>
      <c r="Q32" s="52" t="s">
        <v>191</v>
      </c>
      <c r="R32" s="128"/>
      <c r="S32" s="128"/>
      <c r="T32" s="52" t="s">
        <v>191</v>
      </c>
      <c r="U32" s="50" t="s">
        <v>191</v>
      </c>
      <c r="V32" s="71" t="s">
        <v>191</v>
      </c>
      <c r="W32" s="66" t="s">
        <v>191</v>
      </c>
      <c r="X32" s="50" t="s">
        <v>191</v>
      </c>
      <c r="Y32" s="38" t="s">
        <v>191</v>
      </c>
      <c r="Z32" s="38" t="s">
        <v>191</v>
      </c>
      <c r="AA32" s="115" t="s">
        <v>191</v>
      </c>
      <c r="AB32" s="66"/>
      <c r="AC32" s="66" t="s">
        <v>191</v>
      </c>
      <c r="AD32" s="66" t="s">
        <v>191</v>
      </c>
      <c r="AE32" s="66" t="s">
        <v>191</v>
      </c>
      <c r="AF32" s="66" t="s">
        <v>191</v>
      </c>
      <c r="AG32" s="66" t="s">
        <v>191</v>
      </c>
      <c r="AH32" s="66" t="s">
        <v>191</v>
      </c>
      <c r="AI32" s="93" t="s">
        <v>191</v>
      </c>
      <c r="AJ32" s="97" t="s">
        <v>191</v>
      </c>
      <c r="AK32" s="52" t="s">
        <v>191</v>
      </c>
      <c r="AL32" s="38" t="s">
        <v>191</v>
      </c>
    </row>
    <row r="33" spans="1:38" s="4" customFormat="1" ht="97.5" customHeight="1" x14ac:dyDescent="0.25">
      <c r="A33" s="83" t="str">
        <f t="shared" ref="A33:A34" si="5">CONCATENATE(B33,"-",C33,"-",E33,"-",F33)</f>
        <v>4.OG-4006-01-1</v>
      </c>
      <c r="B33" s="78" t="str">
        <f>B32</f>
        <v>4.OG</v>
      </c>
      <c r="C33" s="34">
        <f>C32</f>
        <v>4006</v>
      </c>
      <c r="D33" s="8" t="str">
        <f>D32</f>
        <v>Mitte</v>
      </c>
      <c r="E33" s="7" t="str">
        <f>E32</f>
        <v>01</v>
      </c>
      <c r="F33" s="7">
        <v>1</v>
      </c>
      <c r="G33" s="37" t="s">
        <v>191</v>
      </c>
      <c r="H33" s="36" t="s">
        <v>191</v>
      </c>
      <c r="I33" s="36" t="s">
        <v>191</v>
      </c>
      <c r="J33" s="36" t="s">
        <v>191</v>
      </c>
      <c r="K33" s="36" t="s">
        <v>191</v>
      </c>
      <c r="L33" s="36" t="s">
        <v>191</v>
      </c>
      <c r="M33" s="36" t="s">
        <v>191</v>
      </c>
      <c r="N33" s="37" t="s">
        <v>189</v>
      </c>
      <c r="O33" s="39" t="s">
        <v>191</v>
      </c>
      <c r="P33" s="36" t="s">
        <v>191</v>
      </c>
      <c r="Q33" s="16" t="s">
        <v>192</v>
      </c>
      <c r="R33" s="129" t="s">
        <v>182</v>
      </c>
      <c r="S33" s="129" t="s">
        <v>193</v>
      </c>
      <c r="T33" s="99" t="s">
        <v>248</v>
      </c>
      <c r="U33" s="108">
        <v>26</v>
      </c>
      <c r="V33" s="26">
        <v>0.55000000000000004</v>
      </c>
      <c r="W33" s="111">
        <v>60</v>
      </c>
      <c r="X33" s="28" t="s">
        <v>195</v>
      </c>
      <c r="Y33" s="28" t="s">
        <v>191</v>
      </c>
      <c r="Z33" s="28" t="s">
        <v>191</v>
      </c>
      <c r="AA33" s="116">
        <v>16</v>
      </c>
      <c r="AB33" s="19">
        <v>2</v>
      </c>
      <c r="AC33" s="25">
        <f>AA33*AB33</f>
        <v>32</v>
      </c>
      <c r="AD33" s="119">
        <v>0.2</v>
      </c>
      <c r="AE33" s="25">
        <f>AC33*AD33</f>
        <v>6.4</v>
      </c>
      <c r="AF33" s="15">
        <f>AC33+AE33</f>
        <v>38.4</v>
      </c>
      <c r="AG33" s="7">
        <f>G32</f>
        <v>2</v>
      </c>
      <c r="AH33" s="15">
        <f>AF33*AG33</f>
        <v>76.8</v>
      </c>
      <c r="AI33" s="102" t="s">
        <v>249</v>
      </c>
      <c r="AJ33" s="99" t="s">
        <v>197</v>
      </c>
      <c r="AK33" s="99" t="s">
        <v>198</v>
      </c>
      <c r="AL33" s="8" t="s">
        <v>191</v>
      </c>
    </row>
    <row r="34" spans="1:38" s="4" customFormat="1" ht="97.5" customHeight="1" x14ac:dyDescent="0.25">
      <c r="A34" s="83" t="str">
        <f t="shared" si="5"/>
        <v>4.OG-4006-01-2</v>
      </c>
      <c r="B34" s="78" t="str">
        <f>B32</f>
        <v>4.OG</v>
      </c>
      <c r="C34" s="34">
        <f>C32</f>
        <v>4006</v>
      </c>
      <c r="D34" s="8" t="str">
        <f>D32</f>
        <v>Mitte</v>
      </c>
      <c r="E34" s="7" t="str">
        <f>E32</f>
        <v>01</v>
      </c>
      <c r="F34" s="7">
        <v>2</v>
      </c>
      <c r="G34" s="37" t="s">
        <v>191</v>
      </c>
      <c r="H34" s="36"/>
      <c r="I34" s="36" t="s">
        <v>191</v>
      </c>
      <c r="J34" s="36" t="s">
        <v>191</v>
      </c>
      <c r="K34" s="36" t="s">
        <v>191</v>
      </c>
      <c r="L34" s="36" t="s">
        <v>191</v>
      </c>
      <c r="M34" s="36" t="s">
        <v>191</v>
      </c>
      <c r="N34" s="37"/>
      <c r="O34" s="39" t="s">
        <v>191</v>
      </c>
      <c r="P34" s="36" t="s">
        <v>191</v>
      </c>
      <c r="Q34" s="16" t="s">
        <v>200</v>
      </c>
      <c r="R34" s="129"/>
      <c r="S34" s="129" t="s">
        <v>193</v>
      </c>
      <c r="T34" s="16" t="s">
        <v>250</v>
      </c>
      <c r="U34" s="108">
        <v>34</v>
      </c>
      <c r="V34" s="26">
        <v>0.38</v>
      </c>
      <c r="W34" s="111">
        <v>50</v>
      </c>
      <c r="X34" s="28" t="s">
        <v>202</v>
      </c>
      <c r="Y34" s="28" t="s">
        <v>191</v>
      </c>
      <c r="Z34" s="28" t="s">
        <v>191</v>
      </c>
      <c r="AA34" s="117" t="s">
        <v>191</v>
      </c>
      <c r="AB34" s="72">
        <v>1</v>
      </c>
      <c r="AC34" s="25">
        <v>386</v>
      </c>
      <c r="AD34" s="119">
        <v>0.2</v>
      </c>
      <c r="AE34" s="25">
        <f>AC34*AD34</f>
        <v>77.2</v>
      </c>
      <c r="AF34" s="15">
        <f>AC34+AE34</f>
        <v>463.2</v>
      </c>
      <c r="AG34" s="7">
        <f>G32</f>
        <v>2</v>
      </c>
      <c r="AH34" s="15">
        <f>AF34*AG34</f>
        <v>926.4</v>
      </c>
      <c r="AI34" s="95" t="s">
        <v>203</v>
      </c>
      <c r="AJ34" s="99" t="s">
        <v>204</v>
      </c>
      <c r="AK34" s="16" t="s">
        <v>205</v>
      </c>
      <c r="AL34" s="8" t="s">
        <v>191</v>
      </c>
    </row>
    <row r="35" spans="1:38" s="4" customFormat="1" ht="14.25" customHeight="1" x14ac:dyDescent="0.25">
      <c r="A35" s="84"/>
      <c r="B35" s="79"/>
      <c r="C35" s="53"/>
      <c r="D35" s="56"/>
      <c r="E35" s="55"/>
      <c r="F35" s="55"/>
      <c r="G35" s="55"/>
      <c r="H35" s="53"/>
      <c r="I35" s="53"/>
      <c r="J35" s="53"/>
      <c r="K35" s="53"/>
      <c r="L35" s="53"/>
      <c r="M35" s="53"/>
      <c r="N35" s="55"/>
      <c r="O35" s="57"/>
      <c r="P35" s="53"/>
      <c r="Q35" s="63"/>
      <c r="R35" s="130"/>
      <c r="S35" s="59"/>
      <c r="T35" s="63"/>
      <c r="U35" s="63"/>
      <c r="V35" s="69"/>
      <c r="W35" s="69"/>
      <c r="X35" s="59"/>
      <c r="Y35" s="56"/>
      <c r="Z35" s="56"/>
      <c r="AA35" s="114"/>
      <c r="AB35" s="59"/>
      <c r="AC35" s="56"/>
      <c r="AD35" s="56"/>
      <c r="AE35" s="56"/>
      <c r="AF35" s="62"/>
      <c r="AG35" s="55"/>
      <c r="AH35" s="62"/>
      <c r="AI35" s="101"/>
      <c r="AJ35" s="100"/>
      <c r="AK35" s="63"/>
      <c r="AL35" s="56"/>
    </row>
    <row r="36" spans="1:38" s="4" customFormat="1" ht="97.5" customHeight="1" x14ac:dyDescent="0.25">
      <c r="A36" s="82" t="str">
        <f>CONCATENATE(B36,"-",C36,"-",E36,"-",F36)</f>
        <v>4.OG-4006-02-X</v>
      </c>
      <c r="B36" s="77" t="s">
        <v>179</v>
      </c>
      <c r="C36" s="45">
        <v>4006</v>
      </c>
      <c r="D36" s="47" t="s">
        <v>244</v>
      </c>
      <c r="E36" s="88" t="s">
        <v>206</v>
      </c>
      <c r="F36" s="46" t="s">
        <v>182</v>
      </c>
      <c r="G36" s="46">
        <v>6</v>
      </c>
      <c r="H36" s="47" t="s">
        <v>251</v>
      </c>
      <c r="I36" s="35" t="s">
        <v>184</v>
      </c>
      <c r="J36" s="35" t="s">
        <v>208</v>
      </c>
      <c r="K36" s="35" t="s">
        <v>209</v>
      </c>
      <c r="L36" s="46" t="s">
        <v>252</v>
      </c>
      <c r="M36" s="35" t="s">
        <v>191</v>
      </c>
      <c r="N36" s="46" t="s">
        <v>189</v>
      </c>
      <c r="O36" s="48" t="s">
        <v>116</v>
      </c>
      <c r="P36" s="70" t="s">
        <v>211</v>
      </c>
      <c r="Q36" s="52" t="s">
        <v>191</v>
      </c>
      <c r="R36" s="128"/>
      <c r="S36" s="128"/>
      <c r="T36" s="52" t="s">
        <v>191</v>
      </c>
      <c r="U36" s="50" t="s">
        <v>191</v>
      </c>
      <c r="V36" s="71" t="s">
        <v>191</v>
      </c>
      <c r="W36" s="66" t="s">
        <v>191</v>
      </c>
      <c r="X36" s="50" t="s">
        <v>191</v>
      </c>
      <c r="Y36" s="38" t="s">
        <v>191</v>
      </c>
      <c r="Z36" s="38" t="s">
        <v>191</v>
      </c>
      <c r="AA36" s="115" t="s">
        <v>191</v>
      </c>
      <c r="AB36" s="66"/>
      <c r="AC36" s="66" t="s">
        <v>191</v>
      </c>
      <c r="AD36" s="66" t="s">
        <v>191</v>
      </c>
      <c r="AE36" s="66" t="s">
        <v>191</v>
      </c>
      <c r="AF36" s="66" t="s">
        <v>191</v>
      </c>
      <c r="AG36" s="66" t="s">
        <v>191</v>
      </c>
      <c r="AH36" s="66" t="s">
        <v>191</v>
      </c>
      <c r="AI36" s="93" t="s">
        <v>191</v>
      </c>
      <c r="AJ36" s="97" t="s">
        <v>191</v>
      </c>
      <c r="AK36" s="52" t="s">
        <v>191</v>
      </c>
      <c r="AL36" s="38" t="s">
        <v>191</v>
      </c>
    </row>
    <row r="37" spans="1:38" s="4" customFormat="1" ht="97.5" customHeight="1" x14ac:dyDescent="0.25">
      <c r="A37" s="83" t="str">
        <f t="shared" ref="A37:A38" si="6">CONCATENATE(B37,"-",C37,"-",E37,"-",F37)</f>
        <v>4.OG-4006-02-1</v>
      </c>
      <c r="B37" s="78" t="str">
        <f>B36</f>
        <v>4.OG</v>
      </c>
      <c r="C37" s="34">
        <f>C36</f>
        <v>4006</v>
      </c>
      <c r="D37" s="8" t="str">
        <f>D36</f>
        <v>Mitte</v>
      </c>
      <c r="E37" s="7" t="str">
        <f>E36</f>
        <v>02</v>
      </c>
      <c r="F37" s="7">
        <v>1</v>
      </c>
      <c r="G37" s="37" t="s">
        <v>191</v>
      </c>
      <c r="H37" s="36" t="s">
        <v>191</v>
      </c>
      <c r="I37" s="36" t="s">
        <v>191</v>
      </c>
      <c r="J37" s="36" t="s">
        <v>191</v>
      </c>
      <c r="K37" s="36" t="s">
        <v>191</v>
      </c>
      <c r="L37" s="36" t="s">
        <v>191</v>
      </c>
      <c r="M37" s="36" t="s">
        <v>191</v>
      </c>
      <c r="N37" s="37" t="s">
        <v>189</v>
      </c>
      <c r="O37" s="39" t="s">
        <v>191</v>
      </c>
      <c r="P37" s="36" t="s">
        <v>191</v>
      </c>
      <c r="Q37" s="16" t="s">
        <v>212</v>
      </c>
      <c r="R37" s="129" t="s">
        <v>182</v>
      </c>
      <c r="S37" s="129" t="s">
        <v>193</v>
      </c>
      <c r="T37" s="99" t="s">
        <v>191</v>
      </c>
      <c r="U37" s="109" t="s">
        <v>191</v>
      </c>
      <c r="V37" s="26" t="s">
        <v>191</v>
      </c>
      <c r="W37" s="111" t="s">
        <v>191</v>
      </c>
      <c r="X37" s="28" t="s">
        <v>191</v>
      </c>
      <c r="Y37" s="28" t="s">
        <v>191</v>
      </c>
      <c r="Z37" s="28" t="s">
        <v>191</v>
      </c>
      <c r="AA37" s="116" t="s">
        <v>191</v>
      </c>
      <c r="AB37" s="19" t="s">
        <v>191</v>
      </c>
      <c r="AC37" s="25" t="s">
        <v>191</v>
      </c>
      <c r="AD37" s="119" t="s">
        <v>191</v>
      </c>
      <c r="AE37" s="25" t="s">
        <v>191</v>
      </c>
      <c r="AF37" s="15" t="s">
        <v>191</v>
      </c>
      <c r="AG37" s="7" t="s">
        <v>191</v>
      </c>
      <c r="AH37" s="15" t="s">
        <v>191</v>
      </c>
      <c r="AI37" s="102" t="s">
        <v>249</v>
      </c>
      <c r="AJ37" s="99" t="s">
        <v>191</v>
      </c>
      <c r="AK37" s="99" t="s">
        <v>191</v>
      </c>
      <c r="AL37" s="8" t="s">
        <v>191</v>
      </c>
    </row>
    <row r="38" spans="1:38" s="4" customFormat="1" ht="97.5" customHeight="1" x14ac:dyDescent="0.25">
      <c r="A38" s="83" t="str">
        <f t="shared" si="6"/>
        <v>4.OG-4006-02-2</v>
      </c>
      <c r="B38" s="78" t="str">
        <f>B36</f>
        <v>4.OG</v>
      </c>
      <c r="C38" s="34">
        <f>C36</f>
        <v>4006</v>
      </c>
      <c r="D38" s="8" t="str">
        <f>D36</f>
        <v>Mitte</v>
      </c>
      <c r="E38" s="7" t="str">
        <f>E36</f>
        <v>02</v>
      </c>
      <c r="F38" s="7">
        <v>2</v>
      </c>
      <c r="G38" s="37" t="s">
        <v>191</v>
      </c>
      <c r="H38" s="36"/>
      <c r="I38" s="36" t="s">
        <v>191</v>
      </c>
      <c r="J38" s="36" t="s">
        <v>191</v>
      </c>
      <c r="K38" s="36" t="s">
        <v>191</v>
      </c>
      <c r="L38" s="36" t="s">
        <v>191</v>
      </c>
      <c r="M38" s="36" t="s">
        <v>191</v>
      </c>
      <c r="N38" s="37"/>
      <c r="O38" s="39" t="s">
        <v>191</v>
      </c>
      <c r="P38" s="36" t="s">
        <v>191</v>
      </c>
      <c r="Q38" s="16" t="s">
        <v>200</v>
      </c>
      <c r="R38" s="129"/>
      <c r="S38" s="129" t="s">
        <v>193</v>
      </c>
      <c r="T38" s="16" t="s">
        <v>214</v>
      </c>
      <c r="U38" s="110">
        <v>10.199999999999999</v>
      </c>
      <c r="V38" s="26">
        <v>0.44</v>
      </c>
      <c r="W38" s="111">
        <v>50</v>
      </c>
      <c r="X38" s="28" t="s">
        <v>202</v>
      </c>
      <c r="Y38" s="28" t="s">
        <v>191</v>
      </c>
      <c r="Z38" s="28" t="s">
        <v>191</v>
      </c>
      <c r="AA38" s="117" t="s">
        <v>191</v>
      </c>
      <c r="AB38" s="72">
        <v>1</v>
      </c>
      <c r="AC38" s="25">
        <v>175</v>
      </c>
      <c r="AD38" s="119">
        <v>0.2</v>
      </c>
      <c r="AE38" s="25">
        <f>AC38*AD38</f>
        <v>35</v>
      </c>
      <c r="AF38" s="15">
        <f>AC38+AE38</f>
        <v>210</v>
      </c>
      <c r="AG38" s="7">
        <f>G36</f>
        <v>6</v>
      </c>
      <c r="AH38" s="15">
        <f>AF38*AG38</f>
        <v>1260</v>
      </c>
      <c r="AI38" s="95" t="s">
        <v>203</v>
      </c>
      <c r="AJ38" s="99" t="s">
        <v>215</v>
      </c>
      <c r="AK38" s="16" t="s">
        <v>216</v>
      </c>
      <c r="AL38" s="8" t="s">
        <v>191</v>
      </c>
    </row>
    <row r="39" spans="1:38" s="4" customFormat="1" ht="14.25" customHeight="1" x14ac:dyDescent="0.25">
      <c r="A39" s="84"/>
      <c r="B39" s="79"/>
      <c r="C39" s="53"/>
      <c r="D39" s="56"/>
      <c r="E39" s="55"/>
      <c r="F39" s="55"/>
      <c r="G39" s="55"/>
      <c r="H39" s="53"/>
      <c r="I39" s="53"/>
      <c r="J39" s="53"/>
      <c r="K39" s="53"/>
      <c r="L39" s="53"/>
      <c r="M39" s="53"/>
      <c r="N39" s="55"/>
      <c r="O39" s="57"/>
      <c r="P39" s="53"/>
      <c r="Q39" s="63"/>
      <c r="R39" s="130"/>
      <c r="S39" s="59"/>
      <c r="T39" s="63"/>
      <c r="U39" s="63"/>
      <c r="V39" s="69"/>
      <c r="W39" s="69"/>
      <c r="X39" s="59"/>
      <c r="Y39" s="56"/>
      <c r="Z39" s="56"/>
      <c r="AA39" s="114"/>
      <c r="AB39" s="59"/>
      <c r="AC39" s="56"/>
      <c r="AD39" s="56"/>
      <c r="AE39" s="56"/>
      <c r="AF39" s="62"/>
      <c r="AG39" s="55"/>
      <c r="AH39" s="62"/>
      <c r="AI39" s="101"/>
      <c r="AJ39" s="100"/>
      <c r="AK39" s="63"/>
      <c r="AL39" s="56"/>
    </row>
    <row r="40" spans="1:38" s="4" customFormat="1" ht="97.5" customHeight="1" x14ac:dyDescent="0.25">
      <c r="A40" s="82" t="str">
        <f>CONCATENATE(B40,"-",C40,"-",E40,"-",F40)</f>
        <v>4.OG-4007-01-X</v>
      </c>
      <c r="B40" s="77" t="s">
        <v>179</v>
      </c>
      <c r="C40" s="45">
        <v>4007</v>
      </c>
      <c r="D40" s="47" t="s">
        <v>253</v>
      </c>
      <c r="E40" s="88" t="s">
        <v>181</v>
      </c>
      <c r="F40" s="46" t="s">
        <v>182</v>
      </c>
      <c r="G40" s="46">
        <v>2</v>
      </c>
      <c r="H40" s="47" t="s">
        <v>245</v>
      </c>
      <c r="I40" s="35" t="s">
        <v>184</v>
      </c>
      <c r="J40" s="35" t="s">
        <v>185</v>
      </c>
      <c r="K40" s="35" t="s">
        <v>186</v>
      </c>
      <c r="L40" s="46" t="s">
        <v>254</v>
      </c>
      <c r="M40" s="35" t="s">
        <v>188</v>
      </c>
      <c r="N40" s="46" t="s">
        <v>189</v>
      </c>
      <c r="O40" s="48" t="s">
        <v>130</v>
      </c>
      <c r="P40" s="70" t="s">
        <v>255</v>
      </c>
      <c r="Q40" s="52" t="s">
        <v>191</v>
      </c>
      <c r="R40" s="128"/>
      <c r="S40" s="128"/>
      <c r="T40" s="52" t="s">
        <v>191</v>
      </c>
      <c r="U40" s="50" t="s">
        <v>191</v>
      </c>
      <c r="V40" s="71" t="s">
        <v>191</v>
      </c>
      <c r="W40" s="66" t="s">
        <v>191</v>
      </c>
      <c r="X40" s="50" t="s">
        <v>191</v>
      </c>
      <c r="Y40" s="38" t="s">
        <v>191</v>
      </c>
      <c r="Z40" s="38" t="s">
        <v>191</v>
      </c>
      <c r="AA40" s="115" t="s">
        <v>191</v>
      </c>
      <c r="AB40" s="66"/>
      <c r="AC40" s="66" t="s">
        <v>191</v>
      </c>
      <c r="AD40" s="66" t="s">
        <v>191</v>
      </c>
      <c r="AE40" s="66" t="s">
        <v>191</v>
      </c>
      <c r="AF40" s="66" t="s">
        <v>191</v>
      </c>
      <c r="AG40" s="66" t="s">
        <v>191</v>
      </c>
      <c r="AH40" s="66" t="s">
        <v>191</v>
      </c>
      <c r="AI40" s="93" t="s">
        <v>191</v>
      </c>
      <c r="AJ40" s="97" t="s">
        <v>191</v>
      </c>
      <c r="AK40" s="52" t="s">
        <v>191</v>
      </c>
      <c r="AL40" s="38" t="s">
        <v>191</v>
      </c>
    </row>
    <row r="41" spans="1:38" s="4" customFormat="1" ht="97.5" customHeight="1" x14ac:dyDescent="0.25">
      <c r="A41" s="83" t="str">
        <f t="shared" ref="A41:A42" si="7">CONCATENATE(B41,"-",C41,"-",E41,"-",F41)</f>
        <v>4.OG-4007-01-1</v>
      </c>
      <c r="B41" s="78" t="str">
        <f>B40</f>
        <v>4.OG</v>
      </c>
      <c r="C41" s="34">
        <f>C40</f>
        <v>4007</v>
      </c>
      <c r="D41" s="8" t="str">
        <f>D40</f>
        <v>Friedrichshain</v>
      </c>
      <c r="E41" s="7" t="str">
        <f>E40</f>
        <v>01</v>
      </c>
      <c r="F41" s="7">
        <v>1</v>
      </c>
      <c r="G41" s="37" t="s">
        <v>191</v>
      </c>
      <c r="H41" s="36" t="s">
        <v>191</v>
      </c>
      <c r="I41" s="36" t="s">
        <v>191</v>
      </c>
      <c r="J41" s="36" t="s">
        <v>191</v>
      </c>
      <c r="K41" s="36" t="s">
        <v>191</v>
      </c>
      <c r="L41" s="36" t="s">
        <v>191</v>
      </c>
      <c r="M41" s="36" t="s">
        <v>191</v>
      </c>
      <c r="N41" s="37" t="s">
        <v>189</v>
      </c>
      <c r="O41" s="39" t="s">
        <v>191</v>
      </c>
      <c r="P41" s="36" t="s">
        <v>191</v>
      </c>
      <c r="Q41" s="16" t="s">
        <v>192</v>
      </c>
      <c r="R41" s="129" t="s">
        <v>182</v>
      </c>
      <c r="S41" s="129" t="s">
        <v>193</v>
      </c>
      <c r="T41" s="99" t="s">
        <v>248</v>
      </c>
      <c r="U41" s="108">
        <v>26</v>
      </c>
      <c r="V41" s="26">
        <v>0.55000000000000004</v>
      </c>
      <c r="W41" s="111">
        <v>60</v>
      </c>
      <c r="X41" s="28" t="s">
        <v>195</v>
      </c>
      <c r="Y41" s="28" t="s">
        <v>191</v>
      </c>
      <c r="Z41" s="28" t="s">
        <v>191</v>
      </c>
      <c r="AA41" s="116">
        <v>16</v>
      </c>
      <c r="AB41" s="19">
        <v>4</v>
      </c>
      <c r="AC41" s="25">
        <f>AA41*AB41</f>
        <v>64</v>
      </c>
      <c r="AD41" s="119">
        <v>0.2</v>
      </c>
      <c r="AE41" s="25">
        <f>AC41*AD41</f>
        <v>12.8</v>
      </c>
      <c r="AF41" s="15">
        <f>AC41+AE41</f>
        <v>76.8</v>
      </c>
      <c r="AG41" s="7">
        <f>G40</f>
        <v>2</v>
      </c>
      <c r="AH41" s="15">
        <f>AF41*AG41</f>
        <v>153.6</v>
      </c>
      <c r="AI41" s="102" t="s">
        <v>249</v>
      </c>
      <c r="AJ41" s="99" t="s">
        <v>197</v>
      </c>
      <c r="AK41" s="99" t="s">
        <v>198</v>
      </c>
      <c r="AL41" s="8" t="s">
        <v>191</v>
      </c>
    </row>
    <row r="42" spans="1:38" s="4" customFormat="1" ht="97.5" customHeight="1" x14ac:dyDescent="0.25">
      <c r="A42" s="83" t="str">
        <f t="shared" si="7"/>
        <v>4.OG-4007-01-2</v>
      </c>
      <c r="B42" s="78" t="str">
        <f>B40</f>
        <v>4.OG</v>
      </c>
      <c r="C42" s="34">
        <f>C40</f>
        <v>4007</v>
      </c>
      <c r="D42" s="8" t="str">
        <f>D40</f>
        <v>Friedrichshain</v>
      </c>
      <c r="E42" s="7" t="str">
        <f>E40</f>
        <v>01</v>
      </c>
      <c r="F42" s="7">
        <v>2</v>
      </c>
      <c r="G42" s="37" t="s">
        <v>191</v>
      </c>
      <c r="H42" s="36"/>
      <c r="I42" s="36" t="s">
        <v>191</v>
      </c>
      <c r="J42" s="36" t="s">
        <v>191</v>
      </c>
      <c r="K42" s="36" t="s">
        <v>191</v>
      </c>
      <c r="L42" s="36" t="s">
        <v>191</v>
      </c>
      <c r="M42" s="36" t="s">
        <v>191</v>
      </c>
      <c r="N42" s="37"/>
      <c r="O42" s="39" t="s">
        <v>191</v>
      </c>
      <c r="P42" s="36" t="s">
        <v>191</v>
      </c>
      <c r="Q42" s="16" t="s">
        <v>200</v>
      </c>
      <c r="R42" s="129"/>
      <c r="S42" s="129" t="s">
        <v>193</v>
      </c>
      <c r="T42" s="16" t="s">
        <v>201</v>
      </c>
      <c r="U42" s="108">
        <v>70</v>
      </c>
      <c r="V42" s="26">
        <v>0.38</v>
      </c>
      <c r="W42" s="111">
        <v>50</v>
      </c>
      <c r="X42" s="28" t="s">
        <v>202</v>
      </c>
      <c r="Y42" s="28" t="s">
        <v>191</v>
      </c>
      <c r="Z42" s="28" t="s">
        <v>191</v>
      </c>
      <c r="AA42" s="117" t="s">
        <v>191</v>
      </c>
      <c r="AB42" s="72">
        <v>1</v>
      </c>
      <c r="AC42" s="25">
        <v>700</v>
      </c>
      <c r="AD42" s="119">
        <v>0.2</v>
      </c>
      <c r="AE42" s="25">
        <f>AC42*AD42</f>
        <v>140</v>
      </c>
      <c r="AF42" s="15">
        <f>AC42+AE42</f>
        <v>840</v>
      </c>
      <c r="AG42" s="7">
        <f>G40</f>
        <v>2</v>
      </c>
      <c r="AH42" s="15">
        <f>AF42*AG42</f>
        <v>1680</v>
      </c>
      <c r="AI42" s="95" t="s">
        <v>203</v>
      </c>
      <c r="AJ42" s="99" t="s">
        <v>204</v>
      </c>
      <c r="AK42" s="16" t="s">
        <v>205</v>
      </c>
      <c r="AL42" s="8" t="s">
        <v>191</v>
      </c>
    </row>
    <row r="43" spans="1:38" s="4" customFormat="1" ht="14.25" customHeight="1" x14ac:dyDescent="0.25">
      <c r="A43" s="84"/>
      <c r="B43" s="79"/>
      <c r="C43" s="53"/>
      <c r="D43" s="56"/>
      <c r="E43" s="55"/>
      <c r="F43" s="55"/>
      <c r="G43" s="55"/>
      <c r="H43" s="53"/>
      <c r="I43" s="53"/>
      <c r="J43" s="53"/>
      <c r="K43" s="53"/>
      <c r="L43" s="53"/>
      <c r="M43" s="53"/>
      <c r="N43" s="55"/>
      <c r="O43" s="57"/>
      <c r="P43" s="53"/>
      <c r="Q43" s="63"/>
      <c r="R43" s="130"/>
      <c r="S43" s="59"/>
      <c r="T43" s="63"/>
      <c r="U43" s="63"/>
      <c r="V43" s="69"/>
      <c r="W43" s="69"/>
      <c r="X43" s="59"/>
      <c r="Y43" s="56"/>
      <c r="Z43" s="56"/>
      <c r="AA43" s="114"/>
      <c r="AB43" s="59"/>
      <c r="AC43" s="56"/>
      <c r="AD43" s="56"/>
      <c r="AE43" s="56"/>
      <c r="AF43" s="62"/>
      <c r="AG43" s="55"/>
      <c r="AH43" s="62"/>
      <c r="AI43" s="101"/>
      <c r="AJ43" s="100"/>
      <c r="AK43" s="63"/>
      <c r="AL43" s="56"/>
    </row>
    <row r="44" spans="1:38" s="4" customFormat="1" ht="97.5" customHeight="1" x14ac:dyDescent="0.25">
      <c r="A44" s="82" t="s">
        <v>256</v>
      </c>
      <c r="B44" s="77" t="s">
        <v>179</v>
      </c>
      <c r="C44" s="45">
        <v>4007</v>
      </c>
      <c r="D44" s="47" t="s">
        <v>253</v>
      </c>
      <c r="E44" s="88" t="s">
        <v>206</v>
      </c>
      <c r="F44" s="46" t="s">
        <v>182</v>
      </c>
      <c r="G44" s="46">
        <v>6</v>
      </c>
      <c r="H44" s="47" t="s">
        <v>251</v>
      </c>
      <c r="I44" s="35" t="s">
        <v>184</v>
      </c>
      <c r="J44" s="35" t="s">
        <v>208</v>
      </c>
      <c r="K44" s="35" t="s">
        <v>209</v>
      </c>
      <c r="L44" s="46" t="s">
        <v>252</v>
      </c>
      <c r="M44" s="35" t="s">
        <v>191</v>
      </c>
      <c r="N44" s="46" t="s">
        <v>189</v>
      </c>
      <c r="O44" s="48" t="s">
        <v>116</v>
      </c>
      <c r="P44" s="70" t="s">
        <v>211</v>
      </c>
      <c r="Q44" s="52" t="s">
        <v>191</v>
      </c>
      <c r="R44" s="128"/>
      <c r="S44" s="128"/>
      <c r="T44" s="52" t="s">
        <v>191</v>
      </c>
      <c r="U44" s="50" t="s">
        <v>191</v>
      </c>
      <c r="V44" s="71" t="s">
        <v>191</v>
      </c>
      <c r="W44" s="66" t="s">
        <v>191</v>
      </c>
      <c r="X44" s="50" t="s">
        <v>191</v>
      </c>
      <c r="Y44" s="38" t="s">
        <v>191</v>
      </c>
      <c r="Z44" s="38" t="s">
        <v>191</v>
      </c>
      <c r="AA44" s="115" t="s">
        <v>191</v>
      </c>
      <c r="AB44" s="66"/>
      <c r="AC44" s="66" t="s">
        <v>191</v>
      </c>
      <c r="AD44" s="66" t="s">
        <v>191</v>
      </c>
      <c r="AE44" s="66" t="s">
        <v>191</v>
      </c>
      <c r="AF44" s="66" t="s">
        <v>191</v>
      </c>
      <c r="AG44" s="66" t="s">
        <v>191</v>
      </c>
      <c r="AH44" s="66" t="s">
        <v>191</v>
      </c>
      <c r="AI44" s="93" t="s">
        <v>191</v>
      </c>
      <c r="AJ44" s="97" t="s">
        <v>191</v>
      </c>
      <c r="AK44" s="52" t="s">
        <v>191</v>
      </c>
      <c r="AL44" s="38" t="s">
        <v>191</v>
      </c>
    </row>
    <row r="45" spans="1:38" s="4" customFormat="1" ht="97.5" customHeight="1" x14ac:dyDescent="0.25">
      <c r="A45" s="83" t="str">
        <f t="shared" ref="A45:A46" si="8">CONCATENATE(B45,"-",C45,"-",E45,"-",F45)</f>
        <v>4.OG-4007-02-1</v>
      </c>
      <c r="B45" s="78" t="str">
        <f>B44</f>
        <v>4.OG</v>
      </c>
      <c r="C45" s="34">
        <f>C44</f>
        <v>4007</v>
      </c>
      <c r="D45" s="8" t="str">
        <f>D44</f>
        <v>Friedrichshain</v>
      </c>
      <c r="E45" s="7" t="str">
        <f>E44</f>
        <v>02</v>
      </c>
      <c r="F45" s="7">
        <v>1</v>
      </c>
      <c r="G45" s="37" t="s">
        <v>191</v>
      </c>
      <c r="H45" s="36" t="s">
        <v>191</v>
      </c>
      <c r="I45" s="36" t="s">
        <v>191</v>
      </c>
      <c r="J45" s="36" t="s">
        <v>191</v>
      </c>
      <c r="K45" s="36" t="s">
        <v>191</v>
      </c>
      <c r="L45" s="36" t="s">
        <v>191</v>
      </c>
      <c r="M45" s="36" t="s">
        <v>191</v>
      </c>
      <c r="N45" s="37" t="s">
        <v>189</v>
      </c>
      <c r="O45" s="39" t="s">
        <v>191</v>
      </c>
      <c r="P45" s="36" t="s">
        <v>191</v>
      </c>
      <c r="Q45" s="16" t="s">
        <v>212</v>
      </c>
      <c r="R45" s="129" t="s">
        <v>182</v>
      </c>
      <c r="S45" s="129" t="s">
        <v>193</v>
      </c>
      <c r="T45" s="99" t="s">
        <v>191</v>
      </c>
      <c r="U45" s="109" t="s">
        <v>191</v>
      </c>
      <c r="V45" s="26" t="s">
        <v>191</v>
      </c>
      <c r="W45" s="111" t="s">
        <v>191</v>
      </c>
      <c r="X45" s="28" t="s">
        <v>191</v>
      </c>
      <c r="Y45" s="28" t="s">
        <v>191</v>
      </c>
      <c r="Z45" s="28" t="s">
        <v>191</v>
      </c>
      <c r="AA45" s="116" t="s">
        <v>191</v>
      </c>
      <c r="AB45" s="19" t="s">
        <v>191</v>
      </c>
      <c r="AC45" s="25" t="s">
        <v>191</v>
      </c>
      <c r="AD45" s="119" t="s">
        <v>191</v>
      </c>
      <c r="AE45" s="25" t="s">
        <v>191</v>
      </c>
      <c r="AF45" s="15" t="s">
        <v>191</v>
      </c>
      <c r="AG45" s="7" t="s">
        <v>191</v>
      </c>
      <c r="AH45" s="15" t="s">
        <v>191</v>
      </c>
      <c r="AI45" s="102" t="s">
        <v>249</v>
      </c>
      <c r="AJ45" s="99" t="s">
        <v>191</v>
      </c>
      <c r="AK45" s="99" t="s">
        <v>191</v>
      </c>
      <c r="AL45" s="8" t="s">
        <v>191</v>
      </c>
    </row>
    <row r="46" spans="1:38" s="4" customFormat="1" ht="97.5" customHeight="1" x14ac:dyDescent="0.25">
      <c r="A46" s="83" t="str">
        <f t="shared" si="8"/>
        <v>4.OG-4007-02-2</v>
      </c>
      <c r="B46" s="78" t="str">
        <f>B44</f>
        <v>4.OG</v>
      </c>
      <c r="C46" s="34">
        <f>C44</f>
        <v>4007</v>
      </c>
      <c r="D46" s="8" t="str">
        <f>D44</f>
        <v>Friedrichshain</v>
      </c>
      <c r="E46" s="7" t="str">
        <f>E44</f>
        <v>02</v>
      </c>
      <c r="F46" s="7">
        <v>2</v>
      </c>
      <c r="G46" s="37" t="s">
        <v>191</v>
      </c>
      <c r="H46" s="36"/>
      <c r="I46" s="36" t="s">
        <v>191</v>
      </c>
      <c r="J46" s="36" t="s">
        <v>191</v>
      </c>
      <c r="K46" s="36" t="s">
        <v>191</v>
      </c>
      <c r="L46" s="36" t="s">
        <v>191</v>
      </c>
      <c r="M46" s="36" t="s">
        <v>191</v>
      </c>
      <c r="N46" s="37"/>
      <c r="O46" s="39" t="s">
        <v>191</v>
      </c>
      <c r="P46" s="36" t="s">
        <v>191</v>
      </c>
      <c r="Q46" s="16" t="s">
        <v>200</v>
      </c>
      <c r="R46" s="129"/>
      <c r="S46" s="129" t="s">
        <v>193</v>
      </c>
      <c r="T46" s="16" t="s">
        <v>214</v>
      </c>
      <c r="U46" s="110">
        <v>10.199999999999999</v>
      </c>
      <c r="V46" s="26">
        <v>0.44</v>
      </c>
      <c r="W46" s="111">
        <v>50</v>
      </c>
      <c r="X46" s="28" t="s">
        <v>202</v>
      </c>
      <c r="Y46" s="28" t="s">
        <v>191</v>
      </c>
      <c r="Z46" s="28" t="s">
        <v>191</v>
      </c>
      <c r="AA46" s="117" t="s">
        <v>191</v>
      </c>
      <c r="AB46" s="72">
        <v>1</v>
      </c>
      <c r="AC46" s="25">
        <v>175</v>
      </c>
      <c r="AD46" s="119">
        <v>0.2</v>
      </c>
      <c r="AE46" s="25">
        <f>AC46*AD46</f>
        <v>35</v>
      </c>
      <c r="AF46" s="15">
        <f>AC46+AE46</f>
        <v>210</v>
      </c>
      <c r="AG46" s="7">
        <f>G44</f>
        <v>6</v>
      </c>
      <c r="AH46" s="15">
        <f>AF46*AG46</f>
        <v>1260</v>
      </c>
      <c r="AI46" s="95" t="s">
        <v>203</v>
      </c>
      <c r="AJ46" s="99" t="s">
        <v>215</v>
      </c>
      <c r="AK46" s="16" t="s">
        <v>216</v>
      </c>
      <c r="AL46" s="8" t="s">
        <v>191</v>
      </c>
    </row>
    <row r="47" spans="1:38" s="4" customFormat="1" ht="14.25" customHeight="1" x14ac:dyDescent="0.25">
      <c r="A47" s="84"/>
      <c r="B47" s="79"/>
      <c r="C47" s="53"/>
      <c r="D47" s="56"/>
      <c r="E47" s="55"/>
      <c r="F47" s="55"/>
      <c r="G47" s="55"/>
      <c r="H47" s="53"/>
      <c r="I47" s="53"/>
      <c r="J47" s="53"/>
      <c r="K47" s="53"/>
      <c r="L47" s="53"/>
      <c r="M47" s="53"/>
      <c r="N47" s="55"/>
      <c r="O47" s="57"/>
      <c r="P47" s="53"/>
      <c r="Q47" s="63"/>
      <c r="R47" s="130"/>
      <c r="S47" s="59"/>
      <c r="T47" s="63"/>
      <c r="U47" s="63"/>
      <c r="V47" s="69"/>
      <c r="W47" s="69"/>
      <c r="X47" s="59"/>
      <c r="Y47" s="56"/>
      <c r="Z47" s="56"/>
      <c r="AA47" s="114"/>
      <c r="AB47" s="59"/>
      <c r="AC47" s="56"/>
      <c r="AD47" s="56"/>
      <c r="AE47" s="56"/>
      <c r="AF47" s="62"/>
      <c r="AG47" s="55"/>
      <c r="AH47" s="62"/>
      <c r="AI47" s="101"/>
      <c r="AJ47" s="100"/>
      <c r="AK47" s="63"/>
      <c r="AL47" s="56"/>
    </row>
    <row r="48" spans="1:38" s="4" customFormat="1" ht="97.5" customHeight="1" x14ac:dyDescent="0.25">
      <c r="A48" s="82" t="str">
        <f>CONCATENATE(B48,"-",C48,"-",E48,"-",F48)</f>
        <v>4.OG-4004-01-X</v>
      </c>
      <c r="B48" s="77" t="s">
        <v>179</v>
      </c>
      <c r="C48" s="45">
        <v>4004</v>
      </c>
      <c r="D48" s="47" t="s">
        <v>257</v>
      </c>
      <c r="E48" s="88" t="s">
        <v>181</v>
      </c>
      <c r="F48" s="46" t="s">
        <v>182</v>
      </c>
      <c r="G48" s="46">
        <v>2</v>
      </c>
      <c r="H48" s="47" t="s">
        <v>245</v>
      </c>
      <c r="I48" s="35" t="s">
        <v>184</v>
      </c>
      <c r="J48" s="35" t="s">
        <v>185</v>
      </c>
      <c r="K48" s="35" t="s">
        <v>186</v>
      </c>
      <c r="L48" s="46" t="s">
        <v>254</v>
      </c>
      <c r="M48" s="35" t="s">
        <v>188</v>
      </c>
      <c r="N48" s="46" t="s">
        <v>189</v>
      </c>
      <c r="O48" s="48" t="s">
        <v>130</v>
      </c>
      <c r="P48" s="70" t="s">
        <v>255</v>
      </c>
      <c r="Q48" s="52" t="s">
        <v>191</v>
      </c>
      <c r="R48" s="128"/>
      <c r="S48" s="128"/>
      <c r="T48" s="52" t="s">
        <v>191</v>
      </c>
      <c r="U48" s="50" t="s">
        <v>191</v>
      </c>
      <c r="V48" s="71" t="s">
        <v>191</v>
      </c>
      <c r="W48" s="66" t="s">
        <v>191</v>
      </c>
      <c r="X48" s="50" t="s">
        <v>191</v>
      </c>
      <c r="Y48" s="38" t="s">
        <v>191</v>
      </c>
      <c r="Z48" s="38" t="s">
        <v>191</v>
      </c>
      <c r="AA48" s="115" t="s">
        <v>191</v>
      </c>
      <c r="AB48" s="66"/>
      <c r="AC48" s="66" t="s">
        <v>191</v>
      </c>
      <c r="AD48" s="66" t="s">
        <v>191</v>
      </c>
      <c r="AE48" s="66" t="s">
        <v>191</v>
      </c>
      <c r="AF48" s="66" t="s">
        <v>191</v>
      </c>
      <c r="AG48" s="66" t="s">
        <v>191</v>
      </c>
      <c r="AH48" s="66" t="s">
        <v>191</v>
      </c>
      <c r="AI48" s="93" t="s">
        <v>191</v>
      </c>
      <c r="AJ48" s="97" t="s">
        <v>191</v>
      </c>
      <c r="AK48" s="52" t="s">
        <v>191</v>
      </c>
      <c r="AL48" s="38" t="s">
        <v>191</v>
      </c>
    </row>
    <row r="49" spans="1:38" s="4" customFormat="1" ht="97.5" customHeight="1" x14ac:dyDescent="0.25">
      <c r="A49" s="83" t="str">
        <f t="shared" ref="A49:A50" si="9">CONCATENATE(B49,"-",C49,"-",E49,"-",F49)</f>
        <v>4.OG-4004-01-1</v>
      </c>
      <c r="B49" s="78" t="str">
        <f>B48</f>
        <v>4.OG</v>
      </c>
      <c r="C49" s="34">
        <f>C48</f>
        <v>4004</v>
      </c>
      <c r="D49" s="8" t="str">
        <f>D48</f>
        <v>Kreuzberg</v>
      </c>
      <c r="E49" s="7" t="str">
        <f>E48</f>
        <v>01</v>
      </c>
      <c r="F49" s="7">
        <v>1</v>
      </c>
      <c r="G49" s="37" t="s">
        <v>191</v>
      </c>
      <c r="H49" s="36" t="s">
        <v>191</v>
      </c>
      <c r="I49" s="36" t="s">
        <v>191</v>
      </c>
      <c r="J49" s="36" t="s">
        <v>191</v>
      </c>
      <c r="K49" s="36" t="s">
        <v>191</v>
      </c>
      <c r="L49" s="36" t="s">
        <v>191</v>
      </c>
      <c r="M49" s="36" t="s">
        <v>191</v>
      </c>
      <c r="N49" s="37" t="s">
        <v>189</v>
      </c>
      <c r="O49" s="39" t="s">
        <v>191</v>
      </c>
      <c r="P49" s="36" t="s">
        <v>191</v>
      </c>
      <c r="Q49" s="16" t="s">
        <v>192</v>
      </c>
      <c r="R49" s="129" t="s">
        <v>182</v>
      </c>
      <c r="S49" s="129" t="s">
        <v>193</v>
      </c>
      <c r="T49" s="99" t="s">
        <v>248</v>
      </c>
      <c r="U49" s="108">
        <v>26</v>
      </c>
      <c r="V49" s="26">
        <v>0.55000000000000004</v>
      </c>
      <c r="W49" s="111">
        <v>60</v>
      </c>
      <c r="X49" s="28" t="s">
        <v>195</v>
      </c>
      <c r="Y49" s="28" t="s">
        <v>191</v>
      </c>
      <c r="Z49" s="28" t="s">
        <v>191</v>
      </c>
      <c r="AA49" s="116">
        <v>16</v>
      </c>
      <c r="AB49" s="19">
        <v>4</v>
      </c>
      <c r="AC49" s="25">
        <f>AA49*AB49</f>
        <v>64</v>
      </c>
      <c r="AD49" s="119">
        <v>0.2</v>
      </c>
      <c r="AE49" s="25">
        <f>AC49*AD49</f>
        <v>12.8</v>
      </c>
      <c r="AF49" s="15">
        <f>AC49+AE49</f>
        <v>76.8</v>
      </c>
      <c r="AG49" s="7">
        <f>G48</f>
        <v>2</v>
      </c>
      <c r="AH49" s="15">
        <f>AF49*AG49</f>
        <v>153.6</v>
      </c>
      <c r="AI49" s="102" t="s">
        <v>249</v>
      </c>
      <c r="AJ49" s="99" t="s">
        <v>197</v>
      </c>
      <c r="AK49" s="99" t="s">
        <v>198</v>
      </c>
      <c r="AL49" s="8" t="s">
        <v>191</v>
      </c>
    </row>
    <row r="50" spans="1:38" s="4" customFormat="1" ht="97.5" customHeight="1" x14ac:dyDescent="0.25">
      <c r="A50" s="83" t="str">
        <f t="shared" si="9"/>
        <v>4.OG-4004-01-2</v>
      </c>
      <c r="B50" s="78" t="str">
        <f>B48</f>
        <v>4.OG</v>
      </c>
      <c r="C50" s="34">
        <f>C48</f>
        <v>4004</v>
      </c>
      <c r="D50" s="8" t="str">
        <f>D48</f>
        <v>Kreuzberg</v>
      </c>
      <c r="E50" s="7" t="str">
        <f>E48</f>
        <v>01</v>
      </c>
      <c r="F50" s="7">
        <v>2</v>
      </c>
      <c r="G50" s="37" t="s">
        <v>191</v>
      </c>
      <c r="H50" s="36"/>
      <c r="I50" s="36" t="s">
        <v>191</v>
      </c>
      <c r="J50" s="36" t="s">
        <v>191</v>
      </c>
      <c r="K50" s="36" t="s">
        <v>191</v>
      </c>
      <c r="L50" s="36" t="s">
        <v>191</v>
      </c>
      <c r="M50" s="36" t="s">
        <v>191</v>
      </c>
      <c r="N50" s="37"/>
      <c r="O50" s="39" t="s">
        <v>191</v>
      </c>
      <c r="P50" s="36" t="s">
        <v>191</v>
      </c>
      <c r="Q50" s="16" t="s">
        <v>200</v>
      </c>
      <c r="R50" s="129"/>
      <c r="S50" s="129" t="s">
        <v>193</v>
      </c>
      <c r="T50" s="16" t="s">
        <v>201</v>
      </c>
      <c r="U50" s="108">
        <v>70</v>
      </c>
      <c r="V50" s="26">
        <v>0.38</v>
      </c>
      <c r="W50" s="111">
        <v>50</v>
      </c>
      <c r="X50" s="28" t="s">
        <v>202</v>
      </c>
      <c r="Y50" s="28" t="s">
        <v>191</v>
      </c>
      <c r="Z50" s="28" t="s">
        <v>191</v>
      </c>
      <c r="AA50" s="117" t="s">
        <v>191</v>
      </c>
      <c r="AB50" s="72">
        <v>1</v>
      </c>
      <c r="AC50" s="25">
        <v>700</v>
      </c>
      <c r="AD50" s="119">
        <v>0.2</v>
      </c>
      <c r="AE50" s="25">
        <f>AC50*AD50</f>
        <v>140</v>
      </c>
      <c r="AF50" s="15">
        <f>AC50+AE50</f>
        <v>840</v>
      </c>
      <c r="AG50" s="7">
        <f>G48</f>
        <v>2</v>
      </c>
      <c r="AH50" s="15">
        <f>AF50*AG50</f>
        <v>1680</v>
      </c>
      <c r="AI50" s="95" t="s">
        <v>203</v>
      </c>
      <c r="AJ50" s="99" t="s">
        <v>204</v>
      </c>
      <c r="AK50" s="16" t="s">
        <v>205</v>
      </c>
      <c r="AL50" s="8" t="s">
        <v>191</v>
      </c>
    </row>
    <row r="51" spans="1:38" s="4" customFormat="1" ht="14.25" customHeight="1" x14ac:dyDescent="0.25">
      <c r="A51" s="84"/>
      <c r="B51" s="79"/>
      <c r="C51" s="53"/>
      <c r="D51" s="56"/>
      <c r="E51" s="55"/>
      <c r="F51" s="55"/>
      <c r="G51" s="55"/>
      <c r="H51" s="53"/>
      <c r="I51" s="53"/>
      <c r="J51" s="53"/>
      <c r="K51" s="53"/>
      <c r="L51" s="53"/>
      <c r="M51" s="53"/>
      <c r="N51" s="55"/>
      <c r="O51" s="57"/>
      <c r="P51" s="53"/>
      <c r="Q51" s="63"/>
      <c r="R51" s="130"/>
      <c r="S51" s="59"/>
      <c r="T51" s="63"/>
      <c r="U51" s="63"/>
      <c r="V51" s="69"/>
      <c r="W51" s="69"/>
      <c r="X51" s="59"/>
      <c r="Y51" s="56"/>
      <c r="Z51" s="56"/>
      <c r="AA51" s="114"/>
      <c r="AB51" s="59"/>
      <c r="AC51" s="56"/>
      <c r="AD51" s="56"/>
      <c r="AE51" s="56"/>
      <c r="AF51" s="62"/>
      <c r="AG51" s="55"/>
      <c r="AH51" s="62"/>
      <c r="AI51" s="101"/>
      <c r="AJ51" s="100"/>
      <c r="AK51" s="63"/>
      <c r="AL51" s="56"/>
    </row>
    <row r="52" spans="1:38" s="4" customFormat="1" ht="97.5" customHeight="1" x14ac:dyDescent="0.25">
      <c r="A52" s="82" t="str">
        <f>CONCATENATE(B52,"-",C52,"-",E52,"-",F52)</f>
        <v>4.OG-4004-02-X</v>
      </c>
      <c r="B52" s="77" t="s">
        <v>179</v>
      </c>
      <c r="C52" s="45">
        <v>4004</v>
      </c>
      <c r="D52" s="47" t="s">
        <v>257</v>
      </c>
      <c r="E52" s="88" t="s">
        <v>206</v>
      </c>
      <c r="F52" s="46" t="s">
        <v>182</v>
      </c>
      <c r="G52" s="46">
        <v>6</v>
      </c>
      <c r="H52" s="47" t="s">
        <v>251</v>
      </c>
      <c r="I52" s="35" t="s">
        <v>184</v>
      </c>
      <c r="J52" s="35" t="s">
        <v>208</v>
      </c>
      <c r="K52" s="35" t="s">
        <v>209</v>
      </c>
      <c r="L52" s="46" t="s">
        <v>252</v>
      </c>
      <c r="M52" s="35" t="s">
        <v>191</v>
      </c>
      <c r="N52" s="46" t="s">
        <v>189</v>
      </c>
      <c r="O52" s="48" t="s">
        <v>116</v>
      </c>
      <c r="P52" s="70" t="s">
        <v>211</v>
      </c>
      <c r="Q52" s="52" t="s">
        <v>191</v>
      </c>
      <c r="R52" s="128"/>
      <c r="S52" s="128"/>
      <c r="T52" s="52" t="s">
        <v>191</v>
      </c>
      <c r="U52" s="50" t="s">
        <v>191</v>
      </c>
      <c r="V52" s="71" t="s">
        <v>191</v>
      </c>
      <c r="W52" s="66" t="s">
        <v>191</v>
      </c>
      <c r="X52" s="50" t="s">
        <v>191</v>
      </c>
      <c r="Y52" s="38" t="s">
        <v>191</v>
      </c>
      <c r="Z52" s="38" t="s">
        <v>191</v>
      </c>
      <c r="AA52" s="115" t="s">
        <v>191</v>
      </c>
      <c r="AB52" s="66"/>
      <c r="AC52" s="66" t="s">
        <v>191</v>
      </c>
      <c r="AD52" s="66" t="s">
        <v>191</v>
      </c>
      <c r="AE52" s="66" t="s">
        <v>191</v>
      </c>
      <c r="AF52" s="66" t="s">
        <v>191</v>
      </c>
      <c r="AG52" s="66" t="s">
        <v>191</v>
      </c>
      <c r="AH52" s="66" t="s">
        <v>191</v>
      </c>
      <c r="AI52" s="93" t="s">
        <v>191</v>
      </c>
      <c r="AJ52" s="97" t="s">
        <v>191</v>
      </c>
      <c r="AK52" s="52" t="s">
        <v>191</v>
      </c>
      <c r="AL52" s="38" t="s">
        <v>191</v>
      </c>
    </row>
    <row r="53" spans="1:38" s="4" customFormat="1" ht="97.5" customHeight="1" x14ac:dyDescent="0.25">
      <c r="A53" s="83" t="str">
        <f t="shared" ref="A53:A54" si="10">CONCATENATE(B53,"-",C53,"-",E53,"-",F53)</f>
        <v>4.OG-4004-02-1</v>
      </c>
      <c r="B53" s="78" t="str">
        <f>B52</f>
        <v>4.OG</v>
      </c>
      <c r="C53" s="34">
        <f>C52</f>
        <v>4004</v>
      </c>
      <c r="D53" s="8" t="str">
        <f>D52</f>
        <v>Kreuzberg</v>
      </c>
      <c r="E53" s="7" t="str">
        <f>E52</f>
        <v>02</v>
      </c>
      <c r="F53" s="7">
        <v>1</v>
      </c>
      <c r="G53" s="37" t="s">
        <v>191</v>
      </c>
      <c r="H53" s="36" t="s">
        <v>191</v>
      </c>
      <c r="I53" s="36" t="s">
        <v>191</v>
      </c>
      <c r="J53" s="36" t="s">
        <v>191</v>
      </c>
      <c r="K53" s="36" t="s">
        <v>191</v>
      </c>
      <c r="L53" s="36" t="s">
        <v>191</v>
      </c>
      <c r="M53" s="36" t="s">
        <v>191</v>
      </c>
      <c r="N53" s="37" t="s">
        <v>189</v>
      </c>
      <c r="O53" s="39" t="s">
        <v>191</v>
      </c>
      <c r="P53" s="36" t="s">
        <v>191</v>
      </c>
      <c r="Q53" s="16" t="s">
        <v>212</v>
      </c>
      <c r="R53" s="161" t="s">
        <v>258</v>
      </c>
      <c r="S53" s="129" t="s">
        <v>193</v>
      </c>
      <c r="T53" s="99" t="s">
        <v>191</v>
      </c>
      <c r="U53" s="109" t="s">
        <v>191</v>
      </c>
      <c r="V53" s="26" t="s">
        <v>191</v>
      </c>
      <c r="W53" s="111" t="s">
        <v>191</v>
      </c>
      <c r="X53" s="28" t="s">
        <v>191</v>
      </c>
      <c r="Y53" s="28" t="s">
        <v>191</v>
      </c>
      <c r="Z53" s="28" t="s">
        <v>191</v>
      </c>
      <c r="AA53" s="116" t="s">
        <v>191</v>
      </c>
      <c r="AB53" s="19" t="s">
        <v>191</v>
      </c>
      <c r="AC53" s="25" t="s">
        <v>191</v>
      </c>
      <c r="AD53" s="119" t="s">
        <v>191</v>
      </c>
      <c r="AE53" s="25" t="s">
        <v>191</v>
      </c>
      <c r="AF53" s="15" t="s">
        <v>191</v>
      </c>
      <c r="AG53" s="7" t="s">
        <v>191</v>
      </c>
      <c r="AH53" s="15" t="s">
        <v>191</v>
      </c>
      <c r="AI53" s="102" t="s">
        <v>249</v>
      </c>
      <c r="AJ53" s="99" t="s">
        <v>191</v>
      </c>
      <c r="AK53" s="99" t="s">
        <v>191</v>
      </c>
      <c r="AL53" s="8" t="s">
        <v>191</v>
      </c>
    </row>
    <row r="54" spans="1:38" s="4" customFormat="1" ht="97.5" customHeight="1" x14ac:dyDescent="0.25">
      <c r="A54" s="83" t="str">
        <f t="shared" si="10"/>
        <v>4.OG-4004-02-2</v>
      </c>
      <c r="B54" s="78" t="str">
        <f>B52</f>
        <v>4.OG</v>
      </c>
      <c r="C54" s="34">
        <f>C52</f>
        <v>4004</v>
      </c>
      <c r="D54" s="8" t="str">
        <f>D52</f>
        <v>Kreuzberg</v>
      </c>
      <c r="E54" s="7" t="str">
        <f>E52</f>
        <v>02</v>
      </c>
      <c r="F54" s="7">
        <v>2</v>
      </c>
      <c r="G54" s="37" t="s">
        <v>191</v>
      </c>
      <c r="H54" s="36"/>
      <c r="I54" s="36" t="s">
        <v>191</v>
      </c>
      <c r="J54" s="36" t="s">
        <v>191</v>
      </c>
      <c r="K54" s="36" t="s">
        <v>191</v>
      </c>
      <c r="L54" s="36" t="s">
        <v>191</v>
      </c>
      <c r="M54" s="36" t="s">
        <v>191</v>
      </c>
      <c r="N54" s="37"/>
      <c r="O54" s="39" t="s">
        <v>191</v>
      </c>
      <c r="P54" s="36" t="s">
        <v>191</v>
      </c>
      <c r="Q54" s="16" t="s">
        <v>200</v>
      </c>
      <c r="R54" s="161" t="s">
        <v>259</v>
      </c>
      <c r="S54" s="129" t="s">
        <v>193</v>
      </c>
      <c r="T54" s="16" t="s">
        <v>214</v>
      </c>
      <c r="U54" s="110">
        <v>10.199999999999999</v>
      </c>
      <c r="V54" s="26">
        <v>0.44</v>
      </c>
      <c r="W54" s="111">
        <v>50</v>
      </c>
      <c r="X54" s="28" t="s">
        <v>202</v>
      </c>
      <c r="Y54" s="28" t="s">
        <v>191</v>
      </c>
      <c r="Z54" s="28" t="s">
        <v>191</v>
      </c>
      <c r="AA54" s="117" t="s">
        <v>191</v>
      </c>
      <c r="AB54" s="72">
        <v>1</v>
      </c>
      <c r="AC54" s="25">
        <v>175</v>
      </c>
      <c r="AD54" s="119">
        <v>0.2</v>
      </c>
      <c r="AE54" s="25">
        <f>AC54*AD54</f>
        <v>35</v>
      </c>
      <c r="AF54" s="15">
        <f>AC54+AE54</f>
        <v>210</v>
      </c>
      <c r="AG54" s="7">
        <f>G52</f>
        <v>6</v>
      </c>
      <c r="AH54" s="15">
        <f>AF54*AG54</f>
        <v>1260</v>
      </c>
      <c r="AI54" s="95" t="s">
        <v>203</v>
      </c>
      <c r="AJ54" s="99" t="s">
        <v>215</v>
      </c>
      <c r="AK54" s="16" t="s">
        <v>216</v>
      </c>
      <c r="AL54" s="8" t="s">
        <v>191</v>
      </c>
    </row>
    <row r="55" spans="1:38" s="4" customFormat="1" ht="14.25" customHeight="1" x14ac:dyDescent="0.25">
      <c r="A55" s="84"/>
      <c r="B55" s="79"/>
      <c r="C55" s="53"/>
      <c r="D55" s="56"/>
      <c r="E55" s="55"/>
      <c r="F55" s="55"/>
      <c r="G55" s="55"/>
      <c r="H55" s="53"/>
      <c r="I55" s="53"/>
      <c r="J55" s="53"/>
      <c r="K55" s="53"/>
      <c r="L55" s="53"/>
      <c r="M55" s="53"/>
      <c r="N55" s="55"/>
      <c r="O55" s="57"/>
      <c r="P55" s="53"/>
      <c r="Q55" s="63"/>
      <c r="R55" s="130"/>
      <c r="S55" s="130"/>
      <c r="T55" s="63"/>
      <c r="U55" s="63"/>
      <c r="V55" s="69"/>
      <c r="W55" s="69"/>
      <c r="X55" s="59"/>
      <c r="Y55" s="56"/>
      <c r="Z55" s="56"/>
      <c r="AA55" s="114"/>
      <c r="AB55" s="59"/>
      <c r="AC55" s="56"/>
      <c r="AD55" s="56"/>
      <c r="AE55" s="56"/>
      <c r="AF55" s="62"/>
      <c r="AG55" s="55"/>
      <c r="AH55" s="62"/>
      <c r="AI55" s="101"/>
      <c r="AJ55" s="100"/>
      <c r="AK55" s="63"/>
      <c r="AL55" s="56"/>
    </row>
    <row r="56" spans="1:38" s="4" customFormat="1" ht="97.5" customHeight="1" x14ac:dyDescent="0.25">
      <c r="A56" s="82" t="str">
        <f>CONCATENATE(B56,"-",C56,"-",E56,"-",F56)</f>
        <v>4.OG-4011-01-X</v>
      </c>
      <c r="B56" s="77" t="s">
        <v>179</v>
      </c>
      <c r="C56" s="45">
        <v>4011</v>
      </c>
      <c r="D56" s="47" t="s">
        <v>260</v>
      </c>
      <c r="E56" s="88" t="s">
        <v>181</v>
      </c>
      <c r="F56" s="46" t="s">
        <v>182</v>
      </c>
      <c r="G56" s="46">
        <v>2</v>
      </c>
      <c r="H56" s="47" t="s">
        <v>191</v>
      </c>
      <c r="I56" s="35" t="s">
        <v>184</v>
      </c>
      <c r="J56" s="35" t="s">
        <v>241</v>
      </c>
      <c r="K56" s="35" t="s">
        <v>219</v>
      </c>
      <c r="L56" s="46" t="s">
        <v>191</v>
      </c>
      <c r="M56" s="35" t="s">
        <v>261</v>
      </c>
      <c r="N56" s="46" t="s">
        <v>189</v>
      </c>
      <c r="O56" s="48" t="s">
        <v>123</v>
      </c>
      <c r="P56" s="70" t="s">
        <v>191</v>
      </c>
      <c r="Q56" s="52" t="s">
        <v>191</v>
      </c>
      <c r="R56" s="128"/>
      <c r="S56" s="128"/>
      <c r="T56" s="52" t="s">
        <v>191</v>
      </c>
      <c r="U56" s="50" t="s">
        <v>191</v>
      </c>
      <c r="V56" s="71" t="s">
        <v>191</v>
      </c>
      <c r="W56" s="66" t="s">
        <v>191</v>
      </c>
      <c r="X56" s="50" t="s">
        <v>191</v>
      </c>
      <c r="Y56" s="38" t="s">
        <v>191</v>
      </c>
      <c r="Z56" s="38" t="s">
        <v>191</v>
      </c>
      <c r="AA56" s="115" t="s">
        <v>191</v>
      </c>
      <c r="AB56" s="66"/>
      <c r="AC56" s="66" t="s">
        <v>191</v>
      </c>
      <c r="AD56" s="66" t="s">
        <v>191</v>
      </c>
      <c r="AE56" s="66" t="s">
        <v>191</v>
      </c>
      <c r="AF56" s="66" t="s">
        <v>191</v>
      </c>
      <c r="AG56" s="66" t="s">
        <v>191</v>
      </c>
      <c r="AH56" s="66" t="s">
        <v>191</v>
      </c>
      <c r="AI56" s="93" t="s">
        <v>191</v>
      </c>
      <c r="AJ56" s="97" t="s">
        <v>191</v>
      </c>
      <c r="AK56" s="52" t="s">
        <v>191</v>
      </c>
      <c r="AL56" s="38" t="s">
        <v>191</v>
      </c>
    </row>
    <row r="57" spans="1:38" s="4" customFormat="1" ht="97.5" customHeight="1" x14ac:dyDescent="0.25">
      <c r="A57" s="83" t="str">
        <f t="shared" ref="A57:A58" si="11">CONCATENATE(B57,"-",C57,"-",E57,"-",F57)</f>
        <v>4.OG-4011-01-1</v>
      </c>
      <c r="B57" s="78" t="str">
        <f>B56</f>
        <v>4.OG</v>
      </c>
      <c r="C57" s="34">
        <f>C56</f>
        <v>4011</v>
      </c>
      <c r="D57" s="8" t="str">
        <f>D56</f>
        <v>Storage</v>
      </c>
      <c r="E57" s="7" t="str">
        <f>E56</f>
        <v>01</v>
      </c>
      <c r="F57" s="7">
        <v>1</v>
      </c>
      <c r="G57" s="37" t="s">
        <v>191</v>
      </c>
      <c r="H57" s="36" t="s">
        <v>191</v>
      </c>
      <c r="I57" s="36" t="s">
        <v>191</v>
      </c>
      <c r="J57" s="36" t="s">
        <v>191</v>
      </c>
      <c r="K57" s="36" t="s">
        <v>191</v>
      </c>
      <c r="L57" s="36" t="s">
        <v>191</v>
      </c>
      <c r="M57" s="36" t="s">
        <v>191</v>
      </c>
      <c r="N57" s="37" t="s">
        <v>189</v>
      </c>
      <c r="O57" s="39" t="s">
        <v>191</v>
      </c>
      <c r="P57" s="36" t="s">
        <v>191</v>
      </c>
      <c r="Q57" s="16" t="s">
        <v>192</v>
      </c>
      <c r="R57" s="161" t="s">
        <v>258</v>
      </c>
      <c r="S57" s="129" t="s">
        <v>193</v>
      </c>
      <c r="T57" s="99" t="s">
        <v>262</v>
      </c>
      <c r="U57" s="110">
        <v>5.8</v>
      </c>
      <c r="V57" s="26" t="s">
        <v>191</v>
      </c>
      <c r="W57" s="162">
        <v>25000</v>
      </c>
      <c r="X57" s="28" t="s">
        <v>191</v>
      </c>
      <c r="Y57" s="28" t="s">
        <v>191</v>
      </c>
      <c r="Z57" s="28" t="s">
        <v>191</v>
      </c>
      <c r="AA57" s="116">
        <v>0</v>
      </c>
      <c r="AB57" s="19">
        <v>0</v>
      </c>
      <c r="AC57" s="25">
        <v>0</v>
      </c>
      <c r="AD57" s="119">
        <v>0.2</v>
      </c>
      <c r="AE57" s="25">
        <v>0</v>
      </c>
      <c r="AF57" s="15">
        <v>0</v>
      </c>
      <c r="AG57" s="7">
        <f>G56</f>
        <v>2</v>
      </c>
      <c r="AH57" s="15">
        <v>0</v>
      </c>
      <c r="AI57" s="102" t="s">
        <v>191</v>
      </c>
      <c r="AJ57" s="99" t="s">
        <v>191</v>
      </c>
      <c r="AK57" s="99" t="s">
        <v>191</v>
      </c>
      <c r="AL57" s="8" t="s">
        <v>191</v>
      </c>
    </row>
    <row r="58" spans="1:38" s="4" customFormat="1" ht="97.5" customHeight="1" x14ac:dyDescent="0.25">
      <c r="A58" s="83" t="str">
        <f t="shared" si="11"/>
        <v>4.OG-4011-01-2</v>
      </c>
      <c r="B58" s="78" t="str">
        <f>B56</f>
        <v>4.OG</v>
      </c>
      <c r="C58" s="34">
        <f>C56</f>
        <v>4011</v>
      </c>
      <c r="D58" s="8" t="str">
        <f>D56</f>
        <v>Storage</v>
      </c>
      <c r="E58" s="7" t="str">
        <f>E56</f>
        <v>01</v>
      </c>
      <c r="F58" s="7">
        <v>2</v>
      </c>
      <c r="G58" s="37" t="s">
        <v>191</v>
      </c>
      <c r="H58" s="36"/>
      <c r="I58" s="36" t="s">
        <v>191</v>
      </c>
      <c r="J58" s="36" t="s">
        <v>191</v>
      </c>
      <c r="K58" s="36" t="s">
        <v>191</v>
      </c>
      <c r="L58" s="36" t="s">
        <v>191</v>
      </c>
      <c r="M58" s="36" t="s">
        <v>191</v>
      </c>
      <c r="N58" s="37"/>
      <c r="O58" s="39" t="s">
        <v>191</v>
      </c>
      <c r="P58" s="36" t="s">
        <v>191</v>
      </c>
      <c r="Q58" s="16" t="s">
        <v>200</v>
      </c>
      <c r="R58" s="161" t="s">
        <v>259</v>
      </c>
      <c r="S58" s="129" t="s">
        <v>193</v>
      </c>
      <c r="T58" s="16" t="s">
        <v>263</v>
      </c>
      <c r="U58" s="110">
        <v>11.5</v>
      </c>
      <c r="V58" s="26" t="s">
        <v>191</v>
      </c>
      <c r="W58" s="111" t="s">
        <v>191</v>
      </c>
      <c r="X58" s="28" t="s">
        <v>191</v>
      </c>
      <c r="Y58" s="28" t="s">
        <v>264</v>
      </c>
      <c r="Z58" s="28" t="s">
        <v>191</v>
      </c>
      <c r="AA58" s="117">
        <v>120</v>
      </c>
      <c r="AB58" s="72">
        <v>1</v>
      </c>
      <c r="AC58" s="25">
        <f>AA58*AB58</f>
        <v>120</v>
      </c>
      <c r="AD58" s="119">
        <v>0.2</v>
      </c>
      <c r="AE58" s="25">
        <f>AC58*0.2</f>
        <v>24</v>
      </c>
      <c r="AF58" s="15">
        <f>AC58+AE58</f>
        <v>144</v>
      </c>
      <c r="AG58" s="7">
        <f>G56</f>
        <v>2</v>
      </c>
      <c r="AH58" s="15">
        <f>AG58*AF58</f>
        <v>288</v>
      </c>
      <c r="AI58" s="95" t="s">
        <v>265</v>
      </c>
      <c r="AJ58" s="99" t="s">
        <v>191</v>
      </c>
      <c r="AK58" s="16" t="s">
        <v>266</v>
      </c>
      <c r="AL58" s="8" t="s">
        <v>267</v>
      </c>
    </row>
    <row r="59" spans="1:38" s="4" customFormat="1" ht="14.25" customHeight="1" x14ac:dyDescent="0.25">
      <c r="A59" s="84"/>
      <c r="B59" s="79"/>
      <c r="C59" s="53"/>
      <c r="D59" s="56"/>
      <c r="E59" s="55"/>
      <c r="F59" s="55"/>
      <c r="G59" s="55"/>
      <c r="H59" s="53"/>
      <c r="I59" s="53"/>
      <c r="J59" s="53"/>
      <c r="K59" s="53"/>
      <c r="L59" s="53"/>
      <c r="M59" s="53"/>
      <c r="N59" s="55"/>
      <c r="O59" s="57"/>
      <c r="P59" s="53"/>
      <c r="Q59" s="63"/>
      <c r="R59" s="130"/>
      <c r="S59" s="130"/>
      <c r="T59" s="63"/>
      <c r="U59" s="63"/>
      <c r="V59" s="69"/>
      <c r="W59" s="69"/>
      <c r="X59" s="59"/>
      <c r="Y59" s="56"/>
      <c r="Z59" s="56"/>
      <c r="AA59" s="114"/>
      <c r="AB59" s="59"/>
      <c r="AC59" s="56"/>
      <c r="AD59" s="56"/>
      <c r="AE59" s="56"/>
      <c r="AF59" s="62"/>
      <c r="AG59" s="55"/>
      <c r="AH59" s="62"/>
      <c r="AI59" s="101"/>
      <c r="AJ59" s="100"/>
      <c r="AK59" s="63"/>
      <c r="AL59" s="56"/>
    </row>
    <row r="60" spans="1:38" s="4" customFormat="1" ht="97.5" customHeight="1" x14ac:dyDescent="0.25">
      <c r="A60" s="82" t="str">
        <f>CONCATENATE(B60,"-",C60,"-",E60,"-",F60)</f>
        <v>4.OG-4009-01-X</v>
      </c>
      <c r="B60" s="77" t="s">
        <v>179</v>
      </c>
      <c r="C60" s="45">
        <v>4009</v>
      </c>
      <c r="D60" s="47" t="s">
        <v>268</v>
      </c>
      <c r="E60" s="88" t="s">
        <v>181</v>
      </c>
      <c r="F60" s="46" t="s">
        <v>182</v>
      </c>
      <c r="G60" s="46">
        <v>5</v>
      </c>
      <c r="H60" s="47" t="s">
        <v>191</v>
      </c>
      <c r="I60" s="35" t="s">
        <v>184</v>
      </c>
      <c r="J60" s="35" t="s">
        <v>241</v>
      </c>
      <c r="K60" s="35" t="s">
        <v>219</v>
      </c>
      <c r="L60" s="46" t="s">
        <v>191</v>
      </c>
      <c r="M60" s="35" t="s">
        <v>261</v>
      </c>
      <c r="N60" s="46" t="s">
        <v>189</v>
      </c>
      <c r="O60" s="48" t="s">
        <v>123</v>
      </c>
      <c r="P60" s="70" t="s">
        <v>269</v>
      </c>
      <c r="Q60" s="52" t="s">
        <v>191</v>
      </c>
      <c r="R60" s="128"/>
      <c r="S60" s="128"/>
      <c r="T60" s="52" t="s">
        <v>191</v>
      </c>
      <c r="U60" s="50" t="s">
        <v>191</v>
      </c>
      <c r="V60" s="71" t="s">
        <v>191</v>
      </c>
      <c r="W60" s="66" t="s">
        <v>191</v>
      </c>
      <c r="X60" s="50" t="s">
        <v>191</v>
      </c>
      <c r="Y60" s="38" t="s">
        <v>191</v>
      </c>
      <c r="Z60" s="38" t="s">
        <v>191</v>
      </c>
      <c r="AA60" s="115" t="s">
        <v>191</v>
      </c>
      <c r="AB60" s="66"/>
      <c r="AC60" s="66" t="s">
        <v>191</v>
      </c>
      <c r="AD60" s="66" t="s">
        <v>191</v>
      </c>
      <c r="AE60" s="66" t="s">
        <v>191</v>
      </c>
      <c r="AF60" s="66" t="s">
        <v>191</v>
      </c>
      <c r="AG60" s="66" t="s">
        <v>191</v>
      </c>
      <c r="AH60" s="66" t="s">
        <v>191</v>
      </c>
      <c r="AI60" s="93" t="s">
        <v>191</v>
      </c>
      <c r="AJ60" s="97" t="s">
        <v>191</v>
      </c>
      <c r="AK60" s="52" t="s">
        <v>191</v>
      </c>
      <c r="AL60" s="38" t="s">
        <v>191</v>
      </c>
    </row>
    <row r="61" spans="1:38" s="4" customFormat="1" ht="97.5" customHeight="1" x14ac:dyDescent="0.25">
      <c r="A61" s="83" t="str">
        <f t="shared" ref="A61:A62" si="12">CONCATENATE(B61,"-",C61,"-",E61,"-",F61)</f>
        <v>4.OG-4009-01-1</v>
      </c>
      <c r="B61" s="78" t="str">
        <f>B60</f>
        <v>4.OG</v>
      </c>
      <c r="C61" s="34">
        <f>C60</f>
        <v>4009</v>
      </c>
      <c r="D61" s="8" t="str">
        <f>D60</f>
        <v>WC D</v>
      </c>
      <c r="E61" s="7" t="str">
        <f>E60</f>
        <v>01</v>
      </c>
      <c r="F61" s="7">
        <v>1</v>
      </c>
      <c r="G61" s="37" t="s">
        <v>191</v>
      </c>
      <c r="H61" s="36" t="s">
        <v>191</v>
      </c>
      <c r="I61" s="36" t="s">
        <v>191</v>
      </c>
      <c r="J61" s="36" t="s">
        <v>191</v>
      </c>
      <c r="K61" s="36" t="s">
        <v>191</v>
      </c>
      <c r="L61" s="36" t="s">
        <v>191</v>
      </c>
      <c r="M61" s="36" t="s">
        <v>191</v>
      </c>
      <c r="N61" s="37" t="s">
        <v>189</v>
      </c>
      <c r="O61" s="39" t="s">
        <v>191</v>
      </c>
      <c r="P61" s="36" t="s">
        <v>191</v>
      </c>
      <c r="Q61" s="16" t="s">
        <v>192</v>
      </c>
      <c r="R61" s="129" t="s">
        <v>193</v>
      </c>
      <c r="S61" s="129" t="s">
        <v>193</v>
      </c>
      <c r="T61" s="99" t="s">
        <v>262</v>
      </c>
      <c r="U61" s="110">
        <v>5.8</v>
      </c>
      <c r="V61" s="26" t="s">
        <v>191</v>
      </c>
      <c r="W61" s="162">
        <v>25000</v>
      </c>
      <c r="X61" s="28" t="s">
        <v>224</v>
      </c>
      <c r="Y61" s="28" t="s">
        <v>264</v>
      </c>
      <c r="Z61" s="28" t="s">
        <v>445</v>
      </c>
      <c r="AA61" s="116">
        <v>7</v>
      </c>
      <c r="AB61" s="19">
        <v>1</v>
      </c>
      <c r="AC61" s="25">
        <f>AA61</f>
        <v>7</v>
      </c>
      <c r="AD61" s="119">
        <v>0.2</v>
      </c>
      <c r="AE61" s="25">
        <f>AC61*0.2</f>
        <v>1.4000000000000001</v>
      </c>
      <c r="AF61" s="15">
        <f>AC61+AE61</f>
        <v>8.4</v>
      </c>
      <c r="AG61" s="7">
        <f>G60</f>
        <v>5</v>
      </c>
      <c r="AH61" s="15">
        <f>AG61*AF61</f>
        <v>42</v>
      </c>
      <c r="AI61" s="102" t="s">
        <v>191</v>
      </c>
      <c r="AJ61" s="99" t="s">
        <v>191</v>
      </c>
      <c r="AK61" s="99" t="s">
        <v>191</v>
      </c>
      <c r="AL61" s="8" t="s">
        <v>446</v>
      </c>
    </row>
    <row r="62" spans="1:38" s="4" customFormat="1" ht="97.5" customHeight="1" x14ac:dyDescent="0.25">
      <c r="A62" s="83" t="str">
        <f t="shared" si="12"/>
        <v>4.OG-4009-01-2</v>
      </c>
      <c r="B62" s="78" t="str">
        <f>B60</f>
        <v>4.OG</v>
      </c>
      <c r="C62" s="34">
        <f>C60</f>
        <v>4009</v>
      </c>
      <c r="D62" s="8" t="str">
        <f>D60</f>
        <v>WC D</v>
      </c>
      <c r="E62" s="7" t="str">
        <f>E60</f>
        <v>01</v>
      </c>
      <c r="F62" s="7">
        <v>2</v>
      </c>
      <c r="G62" s="37" t="s">
        <v>191</v>
      </c>
      <c r="H62" s="36"/>
      <c r="I62" s="36" t="s">
        <v>191</v>
      </c>
      <c r="J62" s="36" t="s">
        <v>191</v>
      </c>
      <c r="K62" s="36" t="s">
        <v>191</v>
      </c>
      <c r="L62" s="36" t="s">
        <v>191</v>
      </c>
      <c r="M62" s="36" t="s">
        <v>191</v>
      </c>
      <c r="N62" s="37"/>
      <c r="O62" s="39" t="s">
        <v>191</v>
      </c>
      <c r="P62" s="36" t="s">
        <v>191</v>
      </c>
      <c r="Q62" s="16" t="s">
        <v>200</v>
      </c>
      <c r="R62" s="129" t="s">
        <v>193</v>
      </c>
      <c r="S62" s="129" t="s">
        <v>193</v>
      </c>
      <c r="T62" s="16" t="s">
        <v>263</v>
      </c>
      <c r="U62" s="110">
        <v>11.5</v>
      </c>
      <c r="V62" s="26" t="s">
        <v>191</v>
      </c>
      <c r="W62" s="111" t="s">
        <v>191</v>
      </c>
      <c r="X62" s="28" t="s">
        <v>191</v>
      </c>
      <c r="Y62" s="28" t="s">
        <v>191</v>
      </c>
      <c r="Z62" s="28" t="s">
        <v>191</v>
      </c>
      <c r="AA62" s="117">
        <v>0</v>
      </c>
      <c r="AB62" s="72">
        <v>0</v>
      </c>
      <c r="AC62" s="25">
        <v>0</v>
      </c>
      <c r="AD62" s="119">
        <v>0.2</v>
      </c>
      <c r="AE62" s="25">
        <v>0</v>
      </c>
      <c r="AF62" s="15">
        <v>0</v>
      </c>
      <c r="AG62" s="7">
        <f>G60</f>
        <v>5</v>
      </c>
      <c r="AH62" s="15">
        <v>0</v>
      </c>
      <c r="AI62" s="95" t="s">
        <v>265</v>
      </c>
      <c r="AJ62" s="99" t="s">
        <v>191</v>
      </c>
      <c r="AK62" s="16" t="s">
        <v>191</v>
      </c>
      <c r="AL62" s="8" t="s">
        <v>267</v>
      </c>
    </row>
    <row r="63" spans="1:38" s="4" customFormat="1" ht="14.25" customHeight="1" x14ac:dyDescent="0.25">
      <c r="A63" s="84"/>
      <c r="B63" s="79"/>
      <c r="C63" s="53"/>
      <c r="D63" s="56"/>
      <c r="E63" s="55"/>
      <c r="F63" s="55"/>
      <c r="G63" s="55"/>
      <c r="H63" s="53"/>
      <c r="I63" s="53"/>
      <c r="J63" s="53"/>
      <c r="K63" s="53"/>
      <c r="L63" s="53"/>
      <c r="M63" s="53"/>
      <c r="N63" s="55"/>
      <c r="O63" s="57"/>
      <c r="P63" s="53"/>
      <c r="Q63" s="63"/>
      <c r="R63" s="130"/>
      <c r="S63" s="130"/>
      <c r="T63" s="63"/>
      <c r="U63" s="63"/>
      <c r="V63" s="69"/>
      <c r="W63" s="69"/>
      <c r="X63" s="59"/>
      <c r="Y63" s="56"/>
      <c r="Z63" s="56"/>
      <c r="AA63" s="114"/>
      <c r="AB63" s="59"/>
      <c r="AC63" s="56"/>
      <c r="AD63" s="56"/>
      <c r="AE63" s="56"/>
      <c r="AF63" s="62"/>
      <c r="AG63" s="55"/>
      <c r="AH63" s="62"/>
      <c r="AI63" s="101"/>
      <c r="AJ63" s="100"/>
      <c r="AK63" s="63"/>
      <c r="AL63" s="56"/>
    </row>
    <row r="64" spans="1:38" s="4" customFormat="1" ht="97.5" customHeight="1" x14ac:dyDescent="0.25">
      <c r="A64" s="82" t="str">
        <f>CONCATENATE(B64,"-",C64,"-",E64,"-",F64)</f>
        <v>4.OG-4008-01-X</v>
      </c>
      <c r="B64" s="77" t="s">
        <v>179</v>
      </c>
      <c r="C64" s="45">
        <v>4008</v>
      </c>
      <c r="D64" s="47" t="s">
        <v>270</v>
      </c>
      <c r="E64" s="88" t="s">
        <v>181</v>
      </c>
      <c r="F64" s="46" t="s">
        <v>182</v>
      </c>
      <c r="G64" s="46">
        <v>5</v>
      </c>
      <c r="H64" s="47" t="s">
        <v>191</v>
      </c>
      <c r="I64" s="35" t="s">
        <v>184</v>
      </c>
      <c r="J64" s="35" t="s">
        <v>241</v>
      </c>
      <c r="K64" s="35" t="s">
        <v>209</v>
      </c>
      <c r="L64" s="46" t="s">
        <v>191</v>
      </c>
      <c r="M64" s="35" t="s">
        <v>191</v>
      </c>
      <c r="N64" s="46" t="s">
        <v>189</v>
      </c>
      <c r="O64" s="48" t="s">
        <v>123</v>
      </c>
      <c r="P64" s="70" t="s">
        <v>269</v>
      </c>
      <c r="Q64" s="52" t="s">
        <v>191</v>
      </c>
      <c r="R64" s="128"/>
      <c r="S64" s="128"/>
      <c r="T64" s="52" t="s">
        <v>191</v>
      </c>
      <c r="U64" s="50" t="s">
        <v>191</v>
      </c>
      <c r="V64" s="71" t="s">
        <v>191</v>
      </c>
      <c r="W64" s="66" t="s">
        <v>191</v>
      </c>
      <c r="X64" s="50" t="s">
        <v>191</v>
      </c>
      <c r="Y64" s="38" t="s">
        <v>191</v>
      </c>
      <c r="Z64" s="38" t="s">
        <v>191</v>
      </c>
      <c r="AA64" s="115" t="s">
        <v>191</v>
      </c>
      <c r="AB64" s="66"/>
      <c r="AC64" s="66" t="s">
        <v>191</v>
      </c>
      <c r="AD64" s="66" t="s">
        <v>191</v>
      </c>
      <c r="AE64" s="66" t="s">
        <v>191</v>
      </c>
      <c r="AF64" s="66" t="s">
        <v>191</v>
      </c>
      <c r="AG64" s="66" t="s">
        <v>191</v>
      </c>
      <c r="AH64" s="66" t="s">
        <v>191</v>
      </c>
      <c r="AI64" s="93" t="s">
        <v>191</v>
      </c>
      <c r="AJ64" s="97" t="s">
        <v>191</v>
      </c>
      <c r="AK64" s="52" t="s">
        <v>191</v>
      </c>
      <c r="AL64" s="38" t="s">
        <v>191</v>
      </c>
    </row>
    <row r="65" spans="1:38" s="4" customFormat="1" ht="97.5" customHeight="1" x14ac:dyDescent="0.25">
      <c r="A65" s="83" t="str">
        <f t="shared" ref="A65:A66" si="13">CONCATENATE(B65,"-",C65,"-",E65,"-",F65)</f>
        <v>4.OG-4008-01-1</v>
      </c>
      <c r="B65" s="78" t="str">
        <f>B64</f>
        <v>4.OG</v>
      </c>
      <c r="C65" s="34">
        <f>C64</f>
        <v>4008</v>
      </c>
      <c r="D65" s="8" t="str">
        <f>D64</f>
        <v>WC H</v>
      </c>
      <c r="E65" s="7" t="str">
        <f>E64</f>
        <v>01</v>
      </c>
      <c r="F65" s="7">
        <v>1</v>
      </c>
      <c r="G65" s="37" t="s">
        <v>191</v>
      </c>
      <c r="H65" s="36" t="s">
        <v>191</v>
      </c>
      <c r="I65" s="36" t="s">
        <v>191</v>
      </c>
      <c r="J65" s="36" t="s">
        <v>191</v>
      </c>
      <c r="K65" s="36" t="s">
        <v>191</v>
      </c>
      <c r="L65" s="36" t="s">
        <v>191</v>
      </c>
      <c r="M65" s="36" t="s">
        <v>191</v>
      </c>
      <c r="N65" s="37" t="s">
        <v>189</v>
      </c>
      <c r="O65" s="39" t="s">
        <v>191</v>
      </c>
      <c r="P65" s="36" t="s">
        <v>191</v>
      </c>
      <c r="Q65" s="16" t="s">
        <v>212</v>
      </c>
      <c r="R65" s="129" t="s">
        <v>193</v>
      </c>
      <c r="S65" s="129" t="s">
        <v>193</v>
      </c>
      <c r="T65" s="99" t="s">
        <v>191</v>
      </c>
      <c r="U65" s="109" t="s">
        <v>191</v>
      </c>
      <c r="V65" s="26" t="s">
        <v>191</v>
      </c>
      <c r="W65" s="111" t="s">
        <v>191</v>
      </c>
      <c r="X65" s="28" t="s">
        <v>191</v>
      </c>
      <c r="Y65" s="28" t="s">
        <v>191</v>
      </c>
      <c r="Z65" s="28" t="s">
        <v>191</v>
      </c>
      <c r="AA65" s="116">
        <v>0</v>
      </c>
      <c r="AB65" s="19">
        <v>0</v>
      </c>
      <c r="AC65" s="25">
        <v>0</v>
      </c>
      <c r="AD65" s="119">
        <v>0.2</v>
      </c>
      <c r="AE65" s="25">
        <v>0</v>
      </c>
      <c r="AF65" s="15">
        <v>0</v>
      </c>
      <c r="AG65" s="7">
        <f>G64</f>
        <v>5</v>
      </c>
      <c r="AH65" s="15">
        <v>0</v>
      </c>
      <c r="AI65" s="102" t="s">
        <v>191</v>
      </c>
      <c r="AJ65" s="99" t="s">
        <v>191</v>
      </c>
      <c r="AK65" s="99" t="s">
        <v>191</v>
      </c>
      <c r="AL65" s="8" t="s">
        <v>191</v>
      </c>
    </row>
    <row r="66" spans="1:38" s="4" customFormat="1" ht="97.5" customHeight="1" x14ac:dyDescent="0.25">
      <c r="A66" s="83" t="str">
        <f t="shared" si="13"/>
        <v>4.OG-4008-01-2</v>
      </c>
      <c r="B66" s="78" t="str">
        <f>B64</f>
        <v>4.OG</v>
      </c>
      <c r="C66" s="34">
        <f>C64</f>
        <v>4008</v>
      </c>
      <c r="D66" s="8" t="str">
        <f>D64</f>
        <v>WC H</v>
      </c>
      <c r="E66" s="7" t="str">
        <f>E64</f>
        <v>01</v>
      </c>
      <c r="F66" s="7">
        <v>2</v>
      </c>
      <c r="G66" s="37" t="s">
        <v>191</v>
      </c>
      <c r="H66" s="36"/>
      <c r="I66" s="36" t="s">
        <v>191</v>
      </c>
      <c r="J66" s="36" t="s">
        <v>191</v>
      </c>
      <c r="K66" s="36" t="s">
        <v>191</v>
      </c>
      <c r="L66" s="36" t="s">
        <v>191</v>
      </c>
      <c r="M66" s="36" t="s">
        <v>191</v>
      </c>
      <c r="N66" s="37"/>
      <c r="O66" s="39" t="s">
        <v>191</v>
      </c>
      <c r="P66" s="36" t="s">
        <v>191</v>
      </c>
      <c r="Q66" s="16" t="s">
        <v>212</v>
      </c>
      <c r="R66" s="129" t="s">
        <v>193</v>
      </c>
      <c r="S66" s="129" t="s">
        <v>193</v>
      </c>
      <c r="T66" s="16" t="s">
        <v>191</v>
      </c>
      <c r="U66" s="109" t="s">
        <v>191</v>
      </c>
      <c r="V66" s="26" t="s">
        <v>191</v>
      </c>
      <c r="W66" s="111" t="s">
        <v>191</v>
      </c>
      <c r="X66" s="28" t="s">
        <v>191</v>
      </c>
      <c r="Y66" s="28" t="s">
        <v>191</v>
      </c>
      <c r="Z66" s="28" t="s">
        <v>191</v>
      </c>
      <c r="AA66" s="117">
        <v>0</v>
      </c>
      <c r="AB66" s="72">
        <v>0</v>
      </c>
      <c r="AC66" s="25">
        <v>0</v>
      </c>
      <c r="AD66" s="119">
        <v>0.2</v>
      </c>
      <c r="AE66" s="25">
        <v>0</v>
      </c>
      <c r="AF66" s="15">
        <v>0</v>
      </c>
      <c r="AG66" s="7">
        <f>G64</f>
        <v>5</v>
      </c>
      <c r="AH66" s="15">
        <v>0</v>
      </c>
      <c r="AI66" s="95" t="s">
        <v>191</v>
      </c>
      <c r="AJ66" s="99" t="s">
        <v>191</v>
      </c>
      <c r="AK66" s="16" t="s">
        <v>191</v>
      </c>
      <c r="AL66" s="8" t="s">
        <v>191</v>
      </c>
    </row>
    <row r="67" spans="1:38" s="4" customFormat="1" ht="14.25" customHeight="1" x14ac:dyDescent="0.25">
      <c r="A67" s="84"/>
      <c r="B67" s="79"/>
      <c r="C67" s="53"/>
      <c r="D67" s="56"/>
      <c r="E67" s="55"/>
      <c r="F67" s="55"/>
      <c r="G67" s="55"/>
      <c r="H67" s="53"/>
      <c r="I67" s="53"/>
      <c r="J67" s="53"/>
      <c r="K67" s="53"/>
      <c r="L67" s="53"/>
      <c r="M67" s="53"/>
      <c r="N67" s="55"/>
      <c r="O67" s="57"/>
      <c r="P67" s="53"/>
      <c r="Q67" s="63"/>
      <c r="R67" s="130"/>
      <c r="S67" s="130"/>
      <c r="T67" s="63"/>
      <c r="U67" s="63"/>
      <c r="V67" s="69"/>
      <c r="W67" s="69"/>
      <c r="X67" s="59"/>
      <c r="Y67" s="56"/>
      <c r="Z67" s="56"/>
      <c r="AA67" s="114"/>
      <c r="AB67" s="59"/>
      <c r="AC67" s="56"/>
      <c r="AD67" s="56"/>
      <c r="AE67" s="56"/>
      <c r="AF67" s="62"/>
      <c r="AG67" s="55"/>
      <c r="AH67" s="62"/>
      <c r="AI67" s="101"/>
      <c r="AJ67" s="100"/>
      <c r="AK67" s="63"/>
      <c r="AL67" s="56"/>
    </row>
    <row r="68" spans="1:38" s="4" customFormat="1" ht="97.5" customHeight="1" x14ac:dyDescent="0.25">
      <c r="A68" s="82" t="str">
        <f>CONCATENATE(B68,"-",C68,"-",E68,"-",F68)</f>
        <v>1.OG-1002-01-X</v>
      </c>
      <c r="B68" s="77" t="s">
        <v>271</v>
      </c>
      <c r="C68" s="45">
        <v>1002</v>
      </c>
      <c r="D68" s="47" t="s">
        <v>272</v>
      </c>
      <c r="E68" s="88" t="s">
        <v>181</v>
      </c>
      <c r="F68" s="46" t="s">
        <v>182</v>
      </c>
      <c r="G68" s="46">
        <v>15</v>
      </c>
      <c r="H68" s="47" t="s">
        <v>273</v>
      </c>
      <c r="I68" s="35" t="s">
        <v>184</v>
      </c>
      <c r="J68" s="35" t="s">
        <v>241</v>
      </c>
      <c r="K68" s="35" t="s">
        <v>219</v>
      </c>
      <c r="L68" s="46" t="s">
        <v>274</v>
      </c>
      <c r="M68" s="35" t="s">
        <v>221</v>
      </c>
      <c r="N68" s="46" t="s">
        <v>189</v>
      </c>
      <c r="O68" s="48" t="s">
        <v>130</v>
      </c>
      <c r="P68" s="70" t="s">
        <v>447</v>
      </c>
      <c r="Q68" s="52" t="s">
        <v>191</v>
      </c>
      <c r="R68" s="128"/>
      <c r="S68" s="128"/>
      <c r="T68" s="52" t="s">
        <v>191</v>
      </c>
      <c r="U68" s="50" t="s">
        <v>191</v>
      </c>
      <c r="V68" s="71" t="s">
        <v>191</v>
      </c>
      <c r="W68" s="66" t="s">
        <v>191</v>
      </c>
      <c r="X68" s="50" t="s">
        <v>191</v>
      </c>
      <c r="Y68" s="38" t="s">
        <v>191</v>
      </c>
      <c r="Z68" s="38" t="s">
        <v>191</v>
      </c>
      <c r="AA68" s="115" t="s">
        <v>191</v>
      </c>
      <c r="AB68" s="66"/>
      <c r="AC68" s="66" t="s">
        <v>191</v>
      </c>
      <c r="AD68" s="66" t="s">
        <v>191</v>
      </c>
      <c r="AE68" s="66" t="s">
        <v>191</v>
      </c>
      <c r="AF68" s="66" t="s">
        <v>191</v>
      </c>
      <c r="AG68" s="66" t="s">
        <v>191</v>
      </c>
      <c r="AH68" s="66" t="s">
        <v>191</v>
      </c>
      <c r="AI68" s="93" t="s">
        <v>191</v>
      </c>
      <c r="AJ68" s="97" t="s">
        <v>191</v>
      </c>
      <c r="AK68" s="52" t="s">
        <v>191</v>
      </c>
      <c r="AL68" s="38" t="s">
        <v>191</v>
      </c>
    </row>
    <row r="69" spans="1:38" s="4" customFormat="1" ht="97.5" customHeight="1" x14ac:dyDescent="0.25">
      <c r="A69" s="83" t="str">
        <f t="shared" ref="A69:A70" si="14">CONCATENATE(B69,"-",C69,"-",E69,"-",F69)</f>
        <v>1.OG-1002-01-1</v>
      </c>
      <c r="B69" s="78" t="str">
        <f>B68</f>
        <v>1.OG</v>
      </c>
      <c r="C69" s="34">
        <f>C68</f>
        <v>1002</v>
      </c>
      <c r="D69" s="8" t="str">
        <f>D68</f>
        <v>Rezeption</v>
      </c>
      <c r="E69" s="7" t="str">
        <f>E68</f>
        <v>01</v>
      </c>
      <c r="F69" s="7">
        <v>1</v>
      </c>
      <c r="G69" s="37" t="s">
        <v>191</v>
      </c>
      <c r="H69" s="36" t="s">
        <v>191</v>
      </c>
      <c r="I69" s="36" t="s">
        <v>191</v>
      </c>
      <c r="J69" s="36" t="s">
        <v>191</v>
      </c>
      <c r="K69" s="36" t="s">
        <v>191</v>
      </c>
      <c r="L69" s="36" t="s">
        <v>191</v>
      </c>
      <c r="M69" s="36" t="s">
        <v>191</v>
      </c>
      <c r="N69" s="37" t="s">
        <v>189</v>
      </c>
      <c r="O69" s="39" t="s">
        <v>191</v>
      </c>
      <c r="P69" s="36" t="s">
        <v>191</v>
      </c>
      <c r="Q69" s="16" t="s">
        <v>191</v>
      </c>
      <c r="R69" s="129" t="s">
        <v>193</v>
      </c>
      <c r="S69" s="129" t="s">
        <v>193</v>
      </c>
      <c r="T69" s="99" t="s">
        <v>191</v>
      </c>
      <c r="U69" s="109" t="s">
        <v>191</v>
      </c>
      <c r="V69" s="26" t="s">
        <v>191</v>
      </c>
      <c r="W69" s="111" t="s">
        <v>191</v>
      </c>
      <c r="X69" s="28" t="s">
        <v>191</v>
      </c>
      <c r="Y69" s="28" t="s">
        <v>191</v>
      </c>
      <c r="Z69" s="28" t="s">
        <v>191</v>
      </c>
      <c r="AA69" s="116">
        <v>0</v>
      </c>
      <c r="AB69" s="19">
        <v>0</v>
      </c>
      <c r="AC69" s="25">
        <v>0</v>
      </c>
      <c r="AD69" s="119">
        <v>0.2</v>
      </c>
      <c r="AE69" s="25">
        <v>0</v>
      </c>
      <c r="AF69" s="15">
        <v>0</v>
      </c>
      <c r="AG69" s="7">
        <f>G68</f>
        <v>15</v>
      </c>
      <c r="AH69" s="15">
        <v>0</v>
      </c>
      <c r="AI69" s="102" t="s">
        <v>191</v>
      </c>
      <c r="AJ69" s="99" t="s">
        <v>191</v>
      </c>
      <c r="AK69" s="99" t="s">
        <v>191</v>
      </c>
      <c r="AL69" s="8" t="s">
        <v>191</v>
      </c>
    </row>
    <row r="70" spans="1:38" s="4" customFormat="1" ht="97.5" customHeight="1" x14ac:dyDescent="0.25">
      <c r="A70" s="83" t="str">
        <f t="shared" si="14"/>
        <v>1.OG-1002-01-2</v>
      </c>
      <c r="B70" s="78" t="str">
        <f>B68</f>
        <v>1.OG</v>
      </c>
      <c r="C70" s="34">
        <f>C68</f>
        <v>1002</v>
      </c>
      <c r="D70" s="8" t="str">
        <f>D68</f>
        <v>Rezeption</v>
      </c>
      <c r="E70" s="7" t="str">
        <f>E68</f>
        <v>01</v>
      </c>
      <c r="F70" s="7">
        <v>2</v>
      </c>
      <c r="G70" s="37" t="s">
        <v>191</v>
      </c>
      <c r="H70" s="36"/>
      <c r="I70" s="36" t="s">
        <v>191</v>
      </c>
      <c r="J70" s="36" t="s">
        <v>191</v>
      </c>
      <c r="K70" s="36" t="s">
        <v>191</v>
      </c>
      <c r="L70" s="36" t="s">
        <v>191</v>
      </c>
      <c r="M70" s="36" t="s">
        <v>191</v>
      </c>
      <c r="N70" s="37"/>
      <c r="O70" s="39" t="s">
        <v>191</v>
      </c>
      <c r="P70" s="36" t="s">
        <v>191</v>
      </c>
      <c r="Q70" s="16" t="s">
        <v>191</v>
      </c>
      <c r="R70" s="129" t="s">
        <v>193</v>
      </c>
      <c r="S70" s="129" t="s">
        <v>193</v>
      </c>
      <c r="T70" s="16" t="s">
        <v>191</v>
      </c>
      <c r="U70" s="109" t="s">
        <v>191</v>
      </c>
      <c r="V70" s="26" t="s">
        <v>191</v>
      </c>
      <c r="W70" s="111" t="s">
        <v>191</v>
      </c>
      <c r="X70" s="28" t="s">
        <v>191</v>
      </c>
      <c r="Y70" s="28" t="s">
        <v>191</v>
      </c>
      <c r="Z70" s="28" t="s">
        <v>191</v>
      </c>
      <c r="AA70" s="117">
        <v>0</v>
      </c>
      <c r="AB70" s="72">
        <v>0</v>
      </c>
      <c r="AC70" s="25">
        <v>0</v>
      </c>
      <c r="AD70" s="119">
        <v>0.2</v>
      </c>
      <c r="AE70" s="25">
        <v>0</v>
      </c>
      <c r="AF70" s="15">
        <v>0</v>
      </c>
      <c r="AG70" s="7">
        <f>G68</f>
        <v>15</v>
      </c>
      <c r="AH70" s="15">
        <v>0</v>
      </c>
      <c r="AI70" s="95" t="s">
        <v>191</v>
      </c>
      <c r="AJ70" s="99" t="s">
        <v>191</v>
      </c>
      <c r="AK70" s="16" t="s">
        <v>191</v>
      </c>
      <c r="AL70" s="8" t="s">
        <v>191</v>
      </c>
    </row>
    <row r="71" spans="1:38" s="4" customFormat="1" ht="14.25" customHeight="1" x14ac:dyDescent="0.25">
      <c r="A71" s="84"/>
      <c r="B71" s="79"/>
      <c r="C71" s="53"/>
      <c r="D71" s="56"/>
      <c r="E71" s="55"/>
      <c r="F71" s="55"/>
      <c r="G71" s="55"/>
      <c r="H71" s="53"/>
      <c r="I71" s="53"/>
      <c r="J71" s="53"/>
      <c r="K71" s="53"/>
      <c r="L71" s="53"/>
      <c r="M71" s="53"/>
      <c r="N71" s="55"/>
      <c r="O71" s="57"/>
      <c r="P71" s="53"/>
      <c r="Q71" s="63"/>
      <c r="R71" s="130"/>
      <c r="S71" s="130"/>
      <c r="T71" s="63"/>
      <c r="U71" s="63"/>
      <c r="V71" s="69"/>
      <c r="W71" s="69"/>
      <c r="X71" s="59"/>
      <c r="Y71" s="56"/>
      <c r="Z71" s="56"/>
      <c r="AA71" s="114"/>
      <c r="AB71" s="59"/>
      <c r="AC71" s="56"/>
      <c r="AD71" s="56"/>
      <c r="AE71" s="56"/>
      <c r="AF71" s="62"/>
      <c r="AG71" s="55"/>
      <c r="AH71" s="62"/>
      <c r="AI71" s="101"/>
      <c r="AJ71" s="100"/>
      <c r="AK71" s="63"/>
      <c r="AL71" s="56"/>
    </row>
    <row r="72" spans="1:38" s="4" customFormat="1" ht="97.5" customHeight="1" x14ac:dyDescent="0.25">
      <c r="A72" s="82" t="str">
        <f>CONCATENATE(B72,"-",C72,"-",E72,"-",F72)</f>
        <v>1.OG-1002-02-X</v>
      </c>
      <c r="B72" s="77" t="s">
        <v>271</v>
      </c>
      <c r="C72" s="45">
        <v>1002</v>
      </c>
      <c r="D72" s="47" t="s">
        <v>272</v>
      </c>
      <c r="E72" s="88" t="s">
        <v>206</v>
      </c>
      <c r="F72" s="46" t="s">
        <v>182</v>
      </c>
      <c r="G72" s="46">
        <v>1</v>
      </c>
      <c r="H72" s="47" t="s">
        <v>276</v>
      </c>
      <c r="I72" s="35" t="s">
        <v>184</v>
      </c>
      <c r="J72" s="35" t="s">
        <v>185</v>
      </c>
      <c r="K72" s="35" t="s">
        <v>186</v>
      </c>
      <c r="L72" s="46" t="s">
        <v>277</v>
      </c>
      <c r="M72" s="35" t="s">
        <v>188</v>
      </c>
      <c r="N72" s="46" t="s">
        <v>189</v>
      </c>
      <c r="O72" s="48" t="s">
        <v>116</v>
      </c>
      <c r="P72" s="70" t="s">
        <v>278</v>
      </c>
      <c r="Q72" s="52" t="s">
        <v>191</v>
      </c>
      <c r="R72" s="128"/>
      <c r="S72" s="128"/>
      <c r="T72" s="52" t="s">
        <v>191</v>
      </c>
      <c r="U72" s="50" t="s">
        <v>191</v>
      </c>
      <c r="V72" s="71" t="s">
        <v>191</v>
      </c>
      <c r="W72" s="66" t="s">
        <v>191</v>
      </c>
      <c r="X72" s="50" t="s">
        <v>191</v>
      </c>
      <c r="Y72" s="38" t="s">
        <v>191</v>
      </c>
      <c r="Z72" s="38" t="s">
        <v>191</v>
      </c>
      <c r="AA72" s="115" t="s">
        <v>191</v>
      </c>
      <c r="AB72" s="66"/>
      <c r="AC72" s="66" t="s">
        <v>191</v>
      </c>
      <c r="AD72" s="66" t="s">
        <v>191</v>
      </c>
      <c r="AE72" s="66" t="s">
        <v>191</v>
      </c>
      <c r="AF72" s="66" t="s">
        <v>191</v>
      </c>
      <c r="AG72" s="66" t="s">
        <v>191</v>
      </c>
      <c r="AH72" s="66" t="s">
        <v>191</v>
      </c>
      <c r="AI72" s="93" t="s">
        <v>191</v>
      </c>
      <c r="AJ72" s="97" t="s">
        <v>191</v>
      </c>
      <c r="AK72" s="52" t="s">
        <v>191</v>
      </c>
      <c r="AL72" s="38" t="s">
        <v>191</v>
      </c>
    </row>
    <row r="73" spans="1:38" s="4" customFormat="1" ht="97.5" customHeight="1" x14ac:dyDescent="0.25">
      <c r="A73" s="83" t="str">
        <f t="shared" ref="A73:A74" si="15">CONCATENATE(B73,"-",C73,"-",E73,"-",F73)</f>
        <v>1.OG-1002-02-1</v>
      </c>
      <c r="B73" s="78" t="str">
        <f>B72</f>
        <v>1.OG</v>
      </c>
      <c r="C73" s="34">
        <f>C72</f>
        <v>1002</v>
      </c>
      <c r="D73" s="8" t="str">
        <f>D72</f>
        <v>Rezeption</v>
      </c>
      <c r="E73" s="7" t="str">
        <f>E72</f>
        <v>02</v>
      </c>
      <c r="F73" s="7">
        <v>1</v>
      </c>
      <c r="G73" s="37" t="s">
        <v>191</v>
      </c>
      <c r="H73" s="36" t="s">
        <v>191</v>
      </c>
      <c r="I73" s="36" t="s">
        <v>191</v>
      </c>
      <c r="J73" s="36" t="s">
        <v>191</v>
      </c>
      <c r="K73" s="36" t="s">
        <v>191</v>
      </c>
      <c r="L73" s="36" t="s">
        <v>191</v>
      </c>
      <c r="M73" s="36" t="s">
        <v>191</v>
      </c>
      <c r="N73" s="37" t="s">
        <v>189</v>
      </c>
      <c r="O73" s="39" t="s">
        <v>191</v>
      </c>
      <c r="P73" s="36" t="s">
        <v>191</v>
      </c>
      <c r="Q73" s="16" t="s">
        <v>191</v>
      </c>
      <c r="R73" s="129" t="s">
        <v>193</v>
      </c>
      <c r="S73" s="129" t="s">
        <v>193</v>
      </c>
      <c r="T73" s="99" t="s">
        <v>191</v>
      </c>
      <c r="U73" s="109" t="s">
        <v>191</v>
      </c>
      <c r="V73" s="26" t="s">
        <v>191</v>
      </c>
      <c r="W73" s="111" t="s">
        <v>191</v>
      </c>
      <c r="X73" s="28" t="s">
        <v>191</v>
      </c>
      <c r="Y73" s="28" t="s">
        <v>191</v>
      </c>
      <c r="Z73" s="28" t="s">
        <v>191</v>
      </c>
      <c r="AA73" s="116">
        <v>0</v>
      </c>
      <c r="AB73" s="19">
        <v>0</v>
      </c>
      <c r="AC73" s="25">
        <v>0</v>
      </c>
      <c r="AD73" s="119">
        <v>0.2</v>
      </c>
      <c r="AE73" s="25">
        <v>0</v>
      </c>
      <c r="AF73" s="15">
        <v>0</v>
      </c>
      <c r="AG73" s="7">
        <f>G72</f>
        <v>1</v>
      </c>
      <c r="AH73" s="15">
        <v>0</v>
      </c>
      <c r="AI73" s="102" t="s">
        <v>191</v>
      </c>
      <c r="AJ73" s="99" t="s">
        <v>191</v>
      </c>
      <c r="AK73" s="99" t="s">
        <v>191</v>
      </c>
      <c r="AL73" s="8" t="s">
        <v>191</v>
      </c>
    </row>
    <row r="74" spans="1:38" s="4" customFormat="1" ht="97.5" customHeight="1" x14ac:dyDescent="0.25">
      <c r="A74" s="83" t="str">
        <f t="shared" si="15"/>
        <v>1.OG-1002-02-2</v>
      </c>
      <c r="B74" s="78" t="str">
        <f>B72</f>
        <v>1.OG</v>
      </c>
      <c r="C74" s="34">
        <f>C72</f>
        <v>1002</v>
      </c>
      <c r="D74" s="8" t="str">
        <f>D72</f>
        <v>Rezeption</v>
      </c>
      <c r="E74" s="7" t="str">
        <f>E72</f>
        <v>02</v>
      </c>
      <c r="F74" s="7">
        <v>2</v>
      </c>
      <c r="G74" s="37" t="s">
        <v>191</v>
      </c>
      <c r="H74" s="36"/>
      <c r="I74" s="36" t="s">
        <v>191</v>
      </c>
      <c r="J74" s="36" t="s">
        <v>191</v>
      </c>
      <c r="K74" s="36" t="s">
        <v>191</v>
      </c>
      <c r="L74" s="36" t="s">
        <v>191</v>
      </c>
      <c r="M74" s="36" t="s">
        <v>191</v>
      </c>
      <c r="N74" s="37"/>
      <c r="O74" s="39" t="s">
        <v>191</v>
      </c>
      <c r="P74" s="36" t="s">
        <v>191</v>
      </c>
      <c r="Q74" s="16" t="s">
        <v>191</v>
      </c>
      <c r="R74" s="129" t="s">
        <v>193</v>
      </c>
      <c r="S74" s="129" t="s">
        <v>193</v>
      </c>
      <c r="T74" s="16" t="s">
        <v>191</v>
      </c>
      <c r="U74" s="109" t="s">
        <v>191</v>
      </c>
      <c r="V74" s="26" t="s">
        <v>191</v>
      </c>
      <c r="W74" s="111" t="s">
        <v>191</v>
      </c>
      <c r="X74" s="28" t="s">
        <v>191</v>
      </c>
      <c r="Y74" s="28" t="s">
        <v>191</v>
      </c>
      <c r="Z74" s="28" t="s">
        <v>191</v>
      </c>
      <c r="AA74" s="117">
        <v>0</v>
      </c>
      <c r="AB74" s="72">
        <v>0</v>
      </c>
      <c r="AC74" s="25">
        <v>0</v>
      </c>
      <c r="AD74" s="119">
        <v>0.2</v>
      </c>
      <c r="AE74" s="25">
        <v>0</v>
      </c>
      <c r="AF74" s="15">
        <v>0</v>
      </c>
      <c r="AG74" s="7">
        <f>G72</f>
        <v>1</v>
      </c>
      <c r="AH74" s="15">
        <v>0</v>
      </c>
      <c r="AI74" s="95" t="s">
        <v>191</v>
      </c>
      <c r="AJ74" s="99" t="s">
        <v>191</v>
      </c>
      <c r="AK74" s="16" t="s">
        <v>191</v>
      </c>
      <c r="AL74" s="8" t="s">
        <v>191</v>
      </c>
    </row>
    <row r="75" spans="1:38" s="4" customFormat="1" ht="14.25" customHeight="1" x14ac:dyDescent="0.25">
      <c r="A75" s="84"/>
      <c r="B75" s="79"/>
      <c r="C75" s="53"/>
      <c r="D75" s="56"/>
      <c r="E75" s="55"/>
      <c r="F75" s="55"/>
      <c r="G75" s="55"/>
      <c r="H75" s="53"/>
      <c r="I75" s="53"/>
      <c r="J75" s="53"/>
      <c r="K75" s="53"/>
      <c r="L75" s="53"/>
      <c r="M75" s="53"/>
      <c r="N75" s="55"/>
      <c r="O75" s="57"/>
      <c r="P75" s="53"/>
      <c r="Q75" s="63"/>
      <c r="R75" s="130"/>
      <c r="S75" s="130"/>
      <c r="T75" s="63"/>
      <c r="U75" s="63"/>
      <c r="V75" s="69"/>
      <c r="W75" s="69"/>
      <c r="X75" s="59"/>
      <c r="Y75" s="56"/>
      <c r="Z75" s="56"/>
      <c r="AA75" s="114"/>
      <c r="AB75" s="59"/>
      <c r="AC75" s="56"/>
      <c r="AD75" s="56"/>
      <c r="AE75" s="56"/>
      <c r="AF75" s="62"/>
      <c r="AG75" s="55"/>
      <c r="AH75" s="62"/>
      <c r="AI75" s="101"/>
      <c r="AJ75" s="100"/>
      <c r="AK75" s="63"/>
      <c r="AL75" s="56"/>
    </row>
    <row r="76" spans="1:38" s="4" customFormat="1" ht="97.5" customHeight="1" x14ac:dyDescent="0.25">
      <c r="A76" s="82" t="str">
        <f>CONCATENATE(B76,"-",C76,"-",E76,"-",F76)</f>
        <v>1.OG-1002-03-X</v>
      </c>
      <c r="B76" s="77" t="s">
        <v>271</v>
      </c>
      <c r="C76" s="45">
        <v>1002</v>
      </c>
      <c r="D76" s="47" t="s">
        <v>272</v>
      </c>
      <c r="E76" s="88" t="s">
        <v>239</v>
      </c>
      <c r="F76" s="46" t="s">
        <v>182</v>
      </c>
      <c r="G76" s="46" t="s">
        <v>191</v>
      </c>
      <c r="H76" s="47" t="s">
        <v>279</v>
      </c>
      <c r="I76" s="35" t="s">
        <v>184</v>
      </c>
      <c r="J76" s="35" t="s">
        <v>241</v>
      </c>
      <c r="K76" s="35" t="s">
        <v>219</v>
      </c>
      <c r="L76" s="46" t="s">
        <v>280</v>
      </c>
      <c r="M76" s="35" t="s">
        <v>281</v>
      </c>
      <c r="N76" s="46" t="s">
        <v>189</v>
      </c>
      <c r="O76" s="48" t="s">
        <v>123</v>
      </c>
      <c r="P76" s="70" t="s">
        <v>282</v>
      </c>
      <c r="Q76" s="52" t="s">
        <v>191</v>
      </c>
      <c r="R76" s="128"/>
      <c r="S76" s="128"/>
      <c r="T76" s="52" t="s">
        <v>191</v>
      </c>
      <c r="U76" s="50" t="s">
        <v>191</v>
      </c>
      <c r="V76" s="71" t="s">
        <v>191</v>
      </c>
      <c r="W76" s="66" t="s">
        <v>191</v>
      </c>
      <c r="X76" s="50" t="s">
        <v>191</v>
      </c>
      <c r="Y76" s="38" t="s">
        <v>191</v>
      </c>
      <c r="Z76" s="38" t="s">
        <v>191</v>
      </c>
      <c r="AA76" s="115" t="s">
        <v>191</v>
      </c>
      <c r="AB76" s="66"/>
      <c r="AC76" s="66" t="s">
        <v>191</v>
      </c>
      <c r="AD76" s="66" t="s">
        <v>191</v>
      </c>
      <c r="AE76" s="66" t="s">
        <v>191</v>
      </c>
      <c r="AF76" s="66" t="s">
        <v>191</v>
      </c>
      <c r="AG76" s="66" t="s">
        <v>191</v>
      </c>
      <c r="AH76" s="66" t="s">
        <v>191</v>
      </c>
      <c r="AI76" s="93" t="s">
        <v>191</v>
      </c>
      <c r="AJ76" s="97" t="s">
        <v>191</v>
      </c>
      <c r="AK76" s="52" t="s">
        <v>191</v>
      </c>
      <c r="AL76" s="38" t="s">
        <v>191</v>
      </c>
    </row>
    <row r="77" spans="1:38" s="4" customFormat="1" ht="97.5" customHeight="1" x14ac:dyDescent="0.25">
      <c r="A77" s="83" t="str">
        <f t="shared" ref="A77:A78" si="16">CONCATENATE(B77,"-",C77,"-",E77,"-",F77)</f>
        <v>1.OG-1002-03-1</v>
      </c>
      <c r="B77" s="78" t="str">
        <f>B76</f>
        <v>1.OG</v>
      </c>
      <c r="C77" s="34">
        <f>C76</f>
        <v>1002</v>
      </c>
      <c r="D77" s="8" t="str">
        <f>D76</f>
        <v>Rezeption</v>
      </c>
      <c r="E77" s="7" t="str">
        <f>E76</f>
        <v>03</v>
      </c>
      <c r="F77" s="7">
        <v>1</v>
      </c>
      <c r="G77" s="37" t="s">
        <v>191</v>
      </c>
      <c r="H77" s="36" t="s">
        <v>191</v>
      </c>
      <c r="I77" s="36" t="s">
        <v>191</v>
      </c>
      <c r="J77" s="36" t="s">
        <v>191</v>
      </c>
      <c r="K77" s="36" t="s">
        <v>191</v>
      </c>
      <c r="L77" s="36" t="s">
        <v>191</v>
      </c>
      <c r="M77" s="36" t="s">
        <v>191</v>
      </c>
      <c r="N77" s="37" t="s">
        <v>189</v>
      </c>
      <c r="O77" s="39" t="s">
        <v>191</v>
      </c>
      <c r="P77" s="36" t="s">
        <v>191</v>
      </c>
      <c r="Q77" s="16" t="s">
        <v>191</v>
      </c>
      <c r="R77" s="129" t="s">
        <v>193</v>
      </c>
      <c r="S77" s="129" t="s">
        <v>193</v>
      </c>
      <c r="T77" s="99" t="s">
        <v>191</v>
      </c>
      <c r="U77" s="109" t="s">
        <v>191</v>
      </c>
      <c r="V77" s="26" t="s">
        <v>191</v>
      </c>
      <c r="W77" s="111" t="s">
        <v>191</v>
      </c>
      <c r="X77" s="28" t="s">
        <v>191</v>
      </c>
      <c r="Y77" s="28" t="s">
        <v>191</v>
      </c>
      <c r="Z77" s="28" t="s">
        <v>191</v>
      </c>
      <c r="AA77" s="116">
        <v>0</v>
      </c>
      <c r="AB77" s="19">
        <v>0</v>
      </c>
      <c r="AC77" s="25">
        <v>0</v>
      </c>
      <c r="AD77" s="119">
        <v>0.2</v>
      </c>
      <c r="AE77" s="25">
        <v>0</v>
      </c>
      <c r="AF77" s="15">
        <v>0</v>
      </c>
      <c r="AG77" s="7" t="str">
        <f>G76</f>
        <v>-</v>
      </c>
      <c r="AH77" s="15">
        <v>0</v>
      </c>
      <c r="AI77" s="102" t="s">
        <v>191</v>
      </c>
      <c r="AJ77" s="99" t="s">
        <v>191</v>
      </c>
      <c r="AK77" s="99" t="s">
        <v>191</v>
      </c>
      <c r="AL77" s="8" t="s">
        <v>191</v>
      </c>
    </row>
    <row r="78" spans="1:38" s="4" customFormat="1" ht="97.5" customHeight="1" x14ac:dyDescent="0.25">
      <c r="A78" s="83" t="str">
        <f t="shared" si="16"/>
        <v>1.OG-1002-03-2</v>
      </c>
      <c r="B78" s="78" t="str">
        <f>B76</f>
        <v>1.OG</v>
      </c>
      <c r="C78" s="34">
        <f>C76</f>
        <v>1002</v>
      </c>
      <c r="D78" s="8" t="str">
        <f>D76</f>
        <v>Rezeption</v>
      </c>
      <c r="E78" s="7" t="str">
        <f>E76</f>
        <v>03</v>
      </c>
      <c r="F78" s="7">
        <v>2</v>
      </c>
      <c r="G78" s="37" t="s">
        <v>191</v>
      </c>
      <c r="H78" s="36"/>
      <c r="I78" s="36" t="s">
        <v>191</v>
      </c>
      <c r="J78" s="36" t="s">
        <v>191</v>
      </c>
      <c r="K78" s="36" t="s">
        <v>191</v>
      </c>
      <c r="L78" s="36" t="s">
        <v>191</v>
      </c>
      <c r="M78" s="36" t="s">
        <v>191</v>
      </c>
      <c r="N78" s="37"/>
      <c r="O78" s="39" t="s">
        <v>191</v>
      </c>
      <c r="P78" s="36" t="s">
        <v>191</v>
      </c>
      <c r="Q78" s="16" t="s">
        <v>191</v>
      </c>
      <c r="R78" s="129" t="s">
        <v>193</v>
      </c>
      <c r="S78" s="129" t="s">
        <v>193</v>
      </c>
      <c r="T78" s="16" t="s">
        <v>191</v>
      </c>
      <c r="U78" s="109" t="s">
        <v>191</v>
      </c>
      <c r="V78" s="26" t="s">
        <v>191</v>
      </c>
      <c r="W78" s="111" t="s">
        <v>191</v>
      </c>
      <c r="X78" s="28" t="s">
        <v>191</v>
      </c>
      <c r="Y78" s="28" t="s">
        <v>191</v>
      </c>
      <c r="Z78" s="28" t="s">
        <v>191</v>
      </c>
      <c r="AA78" s="117">
        <v>0</v>
      </c>
      <c r="AB78" s="72">
        <v>0</v>
      </c>
      <c r="AC78" s="25">
        <v>0</v>
      </c>
      <c r="AD78" s="119">
        <v>0.2</v>
      </c>
      <c r="AE78" s="25">
        <v>0</v>
      </c>
      <c r="AF78" s="15">
        <v>0</v>
      </c>
      <c r="AG78" s="7" t="str">
        <f>G76</f>
        <v>-</v>
      </c>
      <c r="AH78" s="15">
        <v>0</v>
      </c>
      <c r="AI78" s="95" t="s">
        <v>191</v>
      </c>
      <c r="AJ78" s="99" t="s">
        <v>191</v>
      </c>
      <c r="AK78" s="16" t="s">
        <v>191</v>
      </c>
      <c r="AL78" s="8" t="s">
        <v>191</v>
      </c>
    </row>
    <row r="79" spans="1:38" s="4" customFormat="1" ht="14.25" customHeight="1" x14ac:dyDescent="0.25">
      <c r="A79" s="84"/>
      <c r="B79" s="79"/>
      <c r="C79" s="53"/>
      <c r="D79" s="56"/>
      <c r="E79" s="55"/>
      <c r="F79" s="55"/>
      <c r="G79" s="55"/>
      <c r="H79" s="53"/>
      <c r="I79" s="53"/>
      <c r="J79" s="53"/>
      <c r="K79" s="53"/>
      <c r="L79" s="53"/>
      <c r="M79" s="53"/>
      <c r="N79" s="55"/>
      <c r="O79" s="57"/>
      <c r="P79" s="53"/>
      <c r="Q79" s="63"/>
      <c r="R79" s="130"/>
      <c r="S79" s="130"/>
      <c r="T79" s="63"/>
      <c r="U79" s="63"/>
      <c r="V79" s="69"/>
      <c r="W79" s="69"/>
      <c r="X79" s="59"/>
      <c r="Y79" s="56"/>
      <c r="Z79" s="56"/>
      <c r="AA79" s="114"/>
      <c r="AB79" s="59"/>
      <c r="AC79" s="56"/>
      <c r="AD79" s="56"/>
      <c r="AE79" s="56"/>
      <c r="AF79" s="62"/>
      <c r="AG79" s="55"/>
      <c r="AH79" s="62"/>
      <c r="AI79" s="101"/>
      <c r="AJ79" s="100"/>
      <c r="AK79" s="63"/>
      <c r="AL79" s="56"/>
    </row>
    <row r="80" spans="1:38" s="4" customFormat="1" ht="97.5" customHeight="1" x14ac:dyDescent="0.25">
      <c r="A80" s="82" t="str">
        <f>CONCATENATE(B80,"-",C80,"-",E80,"-",F80)</f>
        <v>1.OG-1002-04-X</v>
      </c>
      <c r="B80" s="77" t="s">
        <v>271</v>
      </c>
      <c r="C80" s="45">
        <v>1002</v>
      </c>
      <c r="D80" s="47" t="s">
        <v>272</v>
      </c>
      <c r="E80" s="88" t="s">
        <v>283</v>
      </c>
      <c r="F80" s="46" t="s">
        <v>182</v>
      </c>
      <c r="G80" s="46" t="s">
        <v>191</v>
      </c>
      <c r="H80" s="47" t="s">
        <v>279</v>
      </c>
      <c r="I80" s="35" t="s">
        <v>184</v>
      </c>
      <c r="J80" s="35" t="s">
        <v>241</v>
      </c>
      <c r="K80" s="35" t="s">
        <v>219</v>
      </c>
      <c r="L80" s="46" t="s">
        <v>280</v>
      </c>
      <c r="M80" s="35" t="s">
        <v>281</v>
      </c>
      <c r="N80" s="46" t="s">
        <v>189</v>
      </c>
      <c r="O80" s="48" t="s">
        <v>123</v>
      </c>
      <c r="P80" s="70" t="s">
        <v>284</v>
      </c>
      <c r="Q80" s="52" t="s">
        <v>191</v>
      </c>
      <c r="R80" s="128"/>
      <c r="S80" s="128"/>
      <c r="T80" s="52" t="s">
        <v>191</v>
      </c>
      <c r="U80" s="50" t="s">
        <v>191</v>
      </c>
      <c r="V80" s="71" t="s">
        <v>191</v>
      </c>
      <c r="W80" s="66" t="s">
        <v>191</v>
      </c>
      <c r="X80" s="50" t="s">
        <v>191</v>
      </c>
      <c r="Y80" s="38" t="s">
        <v>191</v>
      </c>
      <c r="Z80" s="38" t="s">
        <v>191</v>
      </c>
      <c r="AA80" s="115" t="s">
        <v>191</v>
      </c>
      <c r="AB80" s="66"/>
      <c r="AC80" s="66" t="s">
        <v>191</v>
      </c>
      <c r="AD80" s="66" t="s">
        <v>191</v>
      </c>
      <c r="AE80" s="66" t="s">
        <v>191</v>
      </c>
      <c r="AF80" s="66" t="s">
        <v>191</v>
      </c>
      <c r="AG80" s="66" t="s">
        <v>191</v>
      </c>
      <c r="AH80" s="66" t="s">
        <v>191</v>
      </c>
      <c r="AI80" s="93" t="s">
        <v>191</v>
      </c>
      <c r="AJ80" s="97" t="s">
        <v>191</v>
      </c>
      <c r="AK80" s="52" t="s">
        <v>191</v>
      </c>
      <c r="AL80" s="38" t="s">
        <v>191</v>
      </c>
    </row>
    <row r="81" spans="1:38" s="4" customFormat="1" ht="97.5" customHeight="1" x14ac:dyDescent="0.25">
      <c r="A81" s="83" t="str">
        <f t="shared" ref="A81:A82" si="17">CONCATENATE(B81,"-",C81,"-",E81,"-",F81)</f>
        <v>1.OG-1002-04-1</v>
      </c>
      <c r="B81" s="78" t="str">
        <f>B80</f>
        <v>1.OG</v>
      </c>
      <c r="C81" s="34">
        <f>C80</f>
        <v>1002</v>
      </c>
      <c r="D81" s="8" t="str">
        <f>D80</f>
        <v>Rezeption</v>
      </c>
      <c r="E81" s="7" t="str">
        <f>E80</f>
        <v>04</v>
      </c>
      <c r="F81" s="7">
        <v>1</v>
      </c>
      <c r="G81" s="37" t="s">
        <v>191</v>
      </c>
      <c r="H81" s="36" t="s">
        <v>191</v>
      </c>
      <c r="I81" s="36" t="s">
        <v>191</v>
      </c>
      <c r="J81" s="36" t="s">
        <v>191</v>
      </c>
      <c r="K81" s="36" t="s">
        <v>191</v>
      </c>
      <c r="L81" s="36" t="s">
        <v>191</v>
      </c>
      <c r="M81" s="36" t="s">
        <v>191</v>
      </c>
      <c r="N81" s="37" t="s">
        <v>189</v>
      </c>
      <c r="O81" s="39" t="s">
        <v>191</v>
      </c>
      <c r="P81" s="36" t="s">
        <v>191</v>
      </c>
      <c r="Q81" s="16" t="s">
        <v>191</v>
      </c>
      <c r="R81" s="129" t="s">
        <v>193</v>
      </c>
      <c r="S81" s="129" t="s">
        <v>193</v>
      </c>
      <c r="T81" s="99" t="s">
        <v>191</v>
      </c>
      <c r="U81" s="109" t="s">
        <v>191</v>
      </c>
      <c r="V81" s="26" t="s">
        <v>191</v>
      </c>
      <c r="W81" s="111" t="s">
        <v>191</v>
      </c>
      <c r="X81" s="28" t="s">
        <v>191</v>
      </c>
      <c r="Y81" s="28" t="s">
        <v>191</v>
      </c>
      <c r="Z81" s="28" t="s">
        <v>191</v>
      </c>
      <c r="AA81" s="116">
        <v>0</v>
      </c>
      <c r="AB81" s="19">
        <v>0</v>
      </c>
      <c r="AC81" s="25">
        <v>0</v>
      </c>
      <c r="AD81" s="119">
        <v>0.2</v>
      </c>
      <c r="AE81" s="25">
        <v>0</v>
      </c>
      <c r="AF81" s="15">
        <v>0</v>
      </c>
      <c r="AG81" s="7" t="str">
        <f>G80</f>
        <v>-</v>
      </c>
      <c r="AH81" s="15">
        <v>0</v>
      </c>
      <c r="AI81" s="102" t="s">
        <v>191</v>
      </c>
      <c r="AJ81" s="99" t="s">
        <v>191</v>
      </c>
      <c r="AK81" s="99" t="s">
        <v>191</v>
      </c>
      <c r="AL81" s="8" t="s">
        <v>191</v>
      </c>
    </row>
    <row r="82" spans="1:38" s="4" customFormat="1" ht="97.5" customHeight="1" x14ac:dyDescent="0.25">
      <c r="A82" s="83" t="str">
        <f t="shared" si="17"/>
        <v>1.OG-1002-04-2</v>
      </c>
      <c r="B82" s="78" t="str">
        <f>B80</f>
        <v>1.OG</v>
      </c>
      <c r="C82" s="34">
        <f>C80</f>
        <v>1002</v>
      </c>
      <c r="D82" s="8" t="str">
        <f>D80</f>
        <v>Rezeption</v>
      </c>
      <c r="E82" s="7" t="str">
        <f>E80</f>
        <v>04</v>
      </c>
      <c r="F82" s="7">
        <v>2</v>
      </c>
      <c r="G82" s="37" t="s">
        <v>191</v>
      </c>
      <c r="H82" s="36"/>
      <c r="I82" s="36" t="s">
        <v>191</v>
      </c>
      <c r="J82" s="36" t="s">
        <v>191</v>
      </c>
      <c r="K82" s="36" t="s">
        <v>191</v>
      </c>
      <c r="L82" s="36" t="s">
        <v>191</v>
      </c>
      <c r="M82" s="36" t="s">
        <v>191</v>
      </c>
      <c r="N82" s="37"/>
      <c r="O82" s="39" t="s">
        <v>191</v>
      </c>
      <c r="P82" s="36" t="s">
        <v>191</v>
      </c>
      <c r="Q82" s="16" t="s">
        <v>191</v>
      </c>
      <c r="R82" s="129" t="s">
        <v>193</v>
      </c>
      <c r="S82" s="129" t="s">
        <v>193</v>
      </c>
      <c r="T82" s="16" t="s">
        <v>191</v>
      </c>
      <c r="U82" s="109" t="s">
        <v>191</v>
      </c>
      <c r="V82" s="26" t="s">
        <v>191</v>
      </c>
      <c r="W82" s="111" t="s">
        <v>191</v>
      </c>
      <c r="X82" s="28" t="s">
        <v>191</v>
      </c>
      <c r="Y82" s="28" t="s">
        <v>191</v>
      </c>
      <c r="Z82" s="28" t="s">
        <v>191</v>
      </c>
      <c r="AA82" s="117">
        <v>0</v>
      </c>
      <c r="AB82" s="72">
        <v>0</v>
      </c>
      <c r="AC82" s="25">
        <v>0</v>
      </c>
      <c r="AD82" s="119">
        <v>0.2</v>
      </c>
      <c r="AE82" s="25">
        <v>0</v>
      </c>
      <c r="AF82" s="15">
        <v>0</v>
      </c>
      <c r="AG82" s="7" t="str">
        <f>G80</f>
        <v>-</v>
      </c>
      <c r="AH82" s="15">
        <v>0</v>
      </c>
      <c r="AI82" s="95" t="s">
        <v>191</v>
      </c>
      <c r="AJ82" s="99" t="s">
        <v>191</v>
      </c>
      <c r="AK82" s="16" t="s">
        <v>191</v>
      </c>
      <c r="AL82" s="8" t="s">
        <v>191</v>
      </c>
    </row>
    <row r="83" spans="1:38" s="4" customFormat="1" ht="14.25" customHeight="1" x14ac:dyDescent="0.25">
      <c r="A83" s="84"/>
      <c r="B83" s="79"/>
      <c r="C83" s="53"/>
      <c r="D83" s="56"/>
      <c r="E83" s="55"/>
      <c r="F83" s="55"/>
      <c r="G83" s="55"/>
      <c r="H83" s="53"/>
      <c r="I83" s="53"/>
      <c r="J83" s="53"/>
      <c r="K83" s="53"/>
      <c r="L83" s="53"/>
      <c r="M83" s="53"/>
      <c r="N83" s="55"/>
      <c r="O83" s="57"/>
      <c r="P83" s="53"/>
      <c r="Q83" s="63"/>
      <c r="R83" s="130"/>
      <c r="S83" s="130"/>
      <c r="T83" s="63"/>
      <c r="U83" s="63"/>
      <c r="V83" s="69"/>
      <c r="W83" s="69"/>
      <c r="X83" s="59"/>
      <c r="Y83" s="56"/>
      <c r="Z83" s="56"/>
      <c r="AA83" s="114"/>
      <c r="AB83" s="59"/>
      <c r="AC83" s="56"/>
      <c r="AD83" s="56"/>
      <c r="AE83" s="56"/>
      <c r="AF83" s="62"/>
      <c r="AG83" s="55"/>
      <c r="AH83" s="62"/>
      <c r="AI83" s="101"/>
      <c r="AJ83" s="100"/>
      <c r="AK83" s="63"/>
      <c r="AL83" s="56"/>
    </row>
    <row r="84" spans="1:38" s="4" customFormat="1" ht="97.5" customHeight="1" x14ac:dyDescent="0.25">
      <c r="A84" s="82" t="str">
        <f>CONCATENATE(B84,"-",C84,"-",E84,"-",F84)</f>
        <v>1.OG-1002-05-X</v>
      </c>
      <c r="B84" s="77" t="s">
        <v>271</v>
      </c>
      <c r="C84" s="45">
        <v>1002</v>
      </c>
      <c r="D84" s="47" t="s">
        <v>285</v>
      </c>
      <c r="E84" s="88" t="s">
        <v>286</v>
      </c>
      <c r="F84" s="46" t="s">
        <v>182</v>
      </c>
      <c r="G84" s="46">
        <v>3</v>
      </c>
      <c r="H84" s="47" t="s">
        <v>273</v>
      </c>
      <c r="I84" s="35" t="s">
        <v>184</v>
      </c>
      <c r="J84" s="35" t="s">
        <v>241</v>
      </c>
      <c r="K84" s="35" t="s">
        <v>219</v>
      </c>
      <c r="L84" s="46" t="s">
        <v>274</v>
      </c>
      <c r="M84" s="35" t="s">
        <v>221</v>
      </c>
      <c r="N84" s="46" t="s">
        <v>189</v>
      </c>
      <c r="O84" s="48" t="s">
        <v>130</v>
      </c>
      <c r="P84" s="70" t="s">
        <v>191</v>
      </c>
      <c r="Q84" s="52" t="s">
        <v>191</v>
      </c>
      <c r="R84" s="128"/>
      <c r="S84" s="128"/>
      <c r="T84" s="52" t="s">
        <v>191</v>
      </c>
      <c r="U84" s="50" t="s">
        <v>191</v>
      </c>
      <c r="V84" s="71" t="s">
        <v>191</v>
      </c>
      <c r="W84" s="66" t="s">
        <v>191</v>
      </c>
      <c r="X84" s="50" t="s">
        <v>191</v>
      </c>
      <c r="Y84" s="38" t="s">
        <v>191</v>
      </c>
      <c r="Z84" s="38" t="s">
        <v>191</v>
      </c>
      <c r="AA84" s="115" t="s">
        <v>191</v>
      </c>
      <c r="AB84" s="66"/>
      <c r="AC84" s="66" t="s">
        <v>191</v>
      </c>
      <c r="AD84" s="66" t="s">
        <v>191</v>
      </c>
      <c r="AE84" s="66" t="s">
        <v>191</v>
      </c>
      <c r="AF84" s="66" t="s">
        <v>191</v>
      </c>
      <c r="AG84" s="66" t="s">
        <v>191</v>
      </c>
      <c r="AH84" s="66" t="s">
        <v>191</v>
      </c>
      <c r="AI84" s="93" t="s">
        <v>191</v>
      </c>
      <c r="AJ84" s="97" t="s">
        <v>191</v>
      </c>
      <c r="AK84" s="52" t="s">
        <v>191</v>
      </c>
      <c r="AL84" s="38" t="s">
        <v>191</v>
      </c>
    </row>
    <row r="85" spans="1:38" s="4" customFormat="1" ht="97.5" customHeight="1" x14ac:dyDescent="0.25">
      <c r="A85" s="83" t="str">
        <f t="shared" ref="A85:A86" si="18">CONCATENATE(B85,"-",C85,"-",E85,"-",F85)</f>
        <v>1.OG-1002-05-1</v>
      </c>
      <c r="B85" s="78" t="str">
        <f>B84</f>
        <v>1.OG</v>
      </c>
      <c r="C85" s="34">
        <f>C84</f>
        <v>1002</v>
      </c>
      <c r="D85" s="8" t="str">
        <f>D84</f>
        <v>Rezeption Flur</v>
      </c>
      <c r="E85" s="7" t="str">
        <f>E84</f>
        <v>05</v>
      </c>
      <c r="F85" s="7">
        <v>1</v>
      </c>
      <c r="G85" s="37" t="s">
        <v>191</v>
      </c>
      <c r="H85" s="36" t="s">
        <v>191</v>
      </c>
      <c r="I85" s="36" t="s">
        <v>191</v>
      </c>
      <c r="J85" s="36" t="s">
        <v>191</v>
      </c>
      <c r="K85" s="36" t="s">
        <v>191</v>
      </c>
      <c r="L85" s="36" t="s">
        <v>191</v>
      </c>
      <c r="M85" s="36" t="s">
        <v>191</v>
      </c>
      <c r="N85" s="37" t="s">
        <v>189</v>
      </c>
      <c r="O85" s="39" t="s">
        <v>191</v>
      </c>
      <c r="P85" s="36" t="s">
        <v>191</v>
      </c>
      <c r="Q85" s="16" t="s">
        <v>191</v>
      </c>
      <c r="R85" s="129" t="s">
        <v>193</v>
      </c>
      <c r="S85" s="129" t="s">
        <v>193</v>
      </c>
      <c r="T85" s="99" t="s">
        <v>191</v>
      </c>
      <c r="U85" s="109" t="s">
        <v>191</v>
      </c>
      <c r="V85" s="26" t="s">
        <v>191</v>
      </c>
      <c r="W85" s="111" t="s">
        <v>191</v>
      </c>
      <c r="X85" s="28" t="s">
        <v>191</v>
      </c>
      <c r="Y85" s="28" t="s">
        <v>191</v>
      </c>
      <c r="Z85" s="28" t="s">
        <v>191</v>
      </c>
      <c r="AA85" s="116">
        <v>0</v>
      </c>
      <c r="AB85" s="19">
        <v>0</v>
      </c>
      <c r="AC85" s="25">
        <v>0</v>
      </c>
      <c r="AD85" s="119">
        <v>0.2</v>
      </c>
      <c r="AE85" s="25">
        <v>0</v>
      </c>
      <c r="AF85" s="15">
        <v>0</v>
      </c>
      <c r="AG85" s="7">
        <f>G84</f>
        <v>3</v>
      </c>
      <c r="AH85" s="15">
        <v>0</v>
      </c>
      <c r="AI85" s="102" t="s">
        <v>191</v>
      </c>
      <c r="AJ85" s="99" t="s">
        <v>191</v>
      </c>
      <c r="AK85" s="99" t="s">
        <v>191</v>
      </c>
      <c r="AL85" s="8" t="s">
        <v>191</v>
      </c>
    </row>
    <row r="86" spans="1:38" s="4" customFormat="1" ht="97.5" customHeight="1" x14ac:dyDescent="0.25">
      <c r="A86" s="83" t="str">
        <f t="shared" si="18"/>
        <v>1.OG-1002-05-2</v>
      </c>
      <c r="B86" s="78" t="str">
        <f>B84</f>
        <v>1.OG</v>
      </c>
      <c r="C86" s="34">
        <f>C84</f>
        <v>1002</v>
      </c>
      <c r="D86" s="8" t="str">
        <f>D84</f>
        <v>Rezeption Flur</v>
      </c>
      <c r="E86" s="7" t="str">
        <f>E84</f>
        <v>05</v>
      </c>
      <c r="F86" s="7">
        <v>2</v>
      </c>
      <c r="G86" s="37" t="s">
        <v>191</v>
      </c>
      <c r="H86" s="36"/>
      <c r="I86" s="36" t="s">
        <v>191</v>
      </c>
      <c r="J86" s="36" t="s">
        <v>191</v>
      </c>
      <c r="K86" s="36" t="s">
        <v>191</v>
      </c>
      <c r="L86" s="36" t="s">
        <v>191</v>
      </c>
      <c r="M86" s="36" t="s">
        <v>191</v>
      </c>
      <c r="N86" s="37"/>
      <c r="O86" s="39" t="s">
        <v>191</v>
      </c>
      <c r="P86" s="36" t="s">
        <v>191</v>
      </c>
      <c r="Q86" s="16" t="s">
        <v>191</v>
      </c>
      <c r="R86" s="129" t="s">
        <v>193</v>
      </c>
      <c r="S86" s="129" t="s">
        <v>193</v>
      </c>
      <c r="T86" s="16" t="s">
        <v>191</v>
      </c>
      <c r="U86" s="109" t="s">
        <v>191</v>
      </c>
      <c r="V86" s="26" t="s">
        <v>191</v>
      </c>
      <c r="W86" s="111" t="s">
        <v>191</v>
      </c>
      <c r="X86" s="28" t="s">
        <v>191</v>
      </c>
      <c r="Y86" s="28" t="s">
        <v>191</v>
      </c>
      <c r="Z86" s="28" t="s">
        <v>191</v>
      </c>
      <c r="AA86" s="117">
        <v>0</v>
      </c>
      <c r="AB86" s="72">
        <v>0</v>
      </c>
      <c r="AC86" s="25">
        <v>0</v>
      </c>
      <c r="AD86" s="119">
        <v>0.2</v>
      </c>
      <c r="AE86" s="25">
        <v>0</v>
      </c>
      <c r="AF86" s="15">
        <v>0</v>
      </c>
      <c r="AG86" s="7">
        <f>G84</f>
        <v>3</v>
      </c>
      <c r="AH86" s="15">
        <v>0</v>
      </c>
      <c r="AI86" s="95" t="s">
        <v>191</v>
      </c>
      <c r="AJ86" s="99" t="s">
        <v>191</v>
      </c>
      <c r="AK86" s="16" t="s">
        <v>191</v>
      </c>
      <c r="AL86" s="8" t="s">
        <v>191</v>
      </c>
    </row>
    <row r="87" spans="1:38" s="4" customFormat="1" ht="14.25" customHeight="1" x14ac:dyDescent="0.25">
      <c r="A87" s="84"/>
      <c r="B87" s="79"/>
      <c r="C87" s="53"/>
      <c r="D87" s="56"/>
      <c r="E87" s="55"/>
      <c r="F87" s="55"/>
      <c r="G87" s="55"/>
      <c r="H87" s="53"/>
      <c r="I87" s="53"/>
      <c r="J87" s="53"/>
      <c r="K87" s="53"/>
      <c r="L87" s="53"/>
      <c r="M87" s="53"/>
      <c r="N87" s="55"/>
      <c r="O87" s="57"/>
      <c r="P87" s="53"/>
      <c r="Q87" s="63"/>
      <c r="R87" s="130"/>
      <c r="S87" s="130"/>
      <c r="T87" s="63"/>
      <c r="U87" s="63"/>
      <c r="V87" s="69"/>
      <c r="W87" s="69"/>
      <c r="X87" s="59"/>
      <c r="Y87" s="56"/>
      <c r="Z87" s="56"/>
      <c r="AA87" s="114"/>
      <c r="AB87" s="59"/>
      <c r="AC87" s="56"/>
      <c r="AD87" s="56"/>
      <c r="AE87" s="56"/>
      <c r="AF87" s="62"/>
      <c r="AG87" s="55"/>
      <c r="AH87" s="62"/>
      <c r="AI87" s="101"/>
      <c r="AJ87" s="100"/>
      <c r="AK87" s="63"/>
      <c r="AL87" s="56"/>
    </row>
    <row r="88" spans="1:38" s="4" customFormat="1" ht="97.5" customHeight="1" x14ac:dyDescent="0.25">
      <c r="A88" s="82" t="str">
        <f>CONCATENATE(B88,"-",C88,"-",E88,"-",F88)</f>
        <v>1.OG-1002-06-X</v>
      </c>
      <c r="B88" s="77" t="s">
        <v>271</v>
      </c>
      <c r="C88" s="45">
        <v>1002</v>
      </c>
      <c r="D88" s="47" t="s">
        <v>287</v>
      </c>
      <c r="E88" s="88" t="s">
        <v>288</v>
      </c>
      <c r="F88" s="46" t="s">
        <v>182</v>
      </c>
      <c r="G88" s="46">
        <v>1</v>
      </c>
      <c r="H88" s="47" t="s">
        <v>289</v>
      </c>
      <c r="I88" s="35" t="s">
        <v>184</v>
      </c>
      <c r="J88" s="35" t="s">
        <v>185</v>
      </c>
      <c r="K88" s="35" t="s">
        <v>191</v>
      </c>
      <c r="L88" s="46" t="s">
        <v>290</v>
      </c>
      <c r="M88" s="35" t="s">
        <v>221</v>
      </c>
      <c r="N88" s="46" t="s">
        <v>189</v>
      </c>
      <c r="O88" s="48" t="s">
        <v>116</v>
      </c>
      <c r="P88" s="70" t="s">
        <v>291</v>
      </c>
      <c r="Q88" s="52" t="s">
        <v>191</v>
      </c>
      <c r="R88" s="128"/>
      <c r="S88" s="128"/>
      <c r="T88" s="52" t="s">
        <v>191</v>
      </c>
      <c r="U88" s="50" t="s">
        <v>191</v>
      </c>
      <c r="V88" s="71" t="s">
        <v>191</v>
      </c>
      <c r="W88" s="66" t="s">
        <v>191</v>
      </c>
      <c r="X88" s="50" t="s">
        <v>191</v>
      </c>
      <c r="Y88" s="38" t="s">
        <v>191</v>
      </c>
      <c r="Z88" s="38" t="s">
        <v>191</v>
      </c>
      <c r="AA88" s="115" t="s">
        <v>191</v>
      </c>
      <c r="AB88" s="66"/>
      <c r="AC88" s="66" t="s">
        <v>191</v>
      </c>
      <c r="AD88" s="66" t="s">
        <v>191</v>
      </c>
      <c r="AE88" s="66" t="s">
        <v>191</v>
      </c>
      <c r="AF88" s="66" t="s">
        <v>191</v>
      </c>
      <c r="AG88" s="66" t="s">
        <v>191</v>
      </c>
      <c r="AH88" s="66" t="s">
        <v>191</v>
      </c>
      <c r="AI88" s="93" t="s">
        <v>191</v>
      </c>
      <c r="AJ88" s="97" t="s">
        <v>191</v>
      </c>
      <c r="AK88" s="52" t="s">
        <v>191</v>
      </c>
      <c r="AL88" s="38" t="s">
        <v>191</v>
      </c>
    </row>
    <row r="89" spans="1:38" s="4" customFormat="1" ht="97.5" customHeight="1" x14ac:dyDescent="0.25">
      <c r="A89" s="83" t="str">
        <f t="shared" ref="A89:A90" si="19">CONCATENATE(B89,"-",C89,"-",E89,"-",F89)</f>
        <v>1.OG-1002-06-1</v>
      </c>
      <c r="B89" s="78" t="str">
        <f>B88</f>
        <v>1.OG</v>
      </c>
      <c r="C89" s="34">
        <f>C88</f>
        <v>1002</v>
      </c>
      <c r="D89" s="8" t="str">
        <f>D88</f>
        <v>Flur Rezeption</v>
      </c>
      <c r="E89" s="7" t="str">
        <f>E88</f>
        <v>06</v>
      </c>
      <c r="F89" s="7">
        <v>1</v>
      </c>
      <c r="G89" s="37" t="s">
        <v>191</v>
      </c>
      <c r="H89" s="36" t="s">
        <v>191</v>
      </c>
      <c r="I89" s="36" t="s">
        <v>191</v>
      </c>
      <c r="J89" s="36" t="s">
        <v>191</v>
      </c>
      <c r="K89" s="36" t="s">
        <v>191</v>
      </c>
      <c r="L89" s="36" t="s">
        <v>191</v>
      </c>
      <c r="M89" s="36" t="s">
        <v>191</v>
      </c>
      <c r="N89" s="37" t="s">
        <v>189</v>
      </c>
      <c r="O89" s="39" t="s">
        <v>191</v>
      </c>
      <c r="P89" s="36" t="s">
        <v>191</v>
      </c>
      <c r="Q89" s="16" t="s">
        <v>191</v>
      </c>
      <c r="R89" s="129" t="s">
        <v>193</v>
      </c>
      <c r="S89" s="129" t="s">
        <v>193</v>
      </c>
      <c r="T89" s="99" t="s">
        <v>191</v>
      </c>
      <c r="U89" s="109" t="s">
        <v>191</v>
      </c>
      <c r="V89" s="26" t="s">
        <v>191</v>
      </c>
      <c r="W89" s="111" t="s">
        <v>191</v>
      </c>
      <c r="X89" s="28" t="s">
        <v>191</v>
      </c>
      <c r="Y89" s="28" t="s">
        <v>191</v>
      </c>
      <c r="Z89" s="28" t="s">
        <v>191</v>
      </c>
      <c r="AA89" s="116">
        <v>0</v>
      </c>
      <c r="AB89" s="19">
        <v>0</v>
      </c>
      <c r="AC89" s="25">
        <v>0</v>
      </c>
      <c r="AD89" s="119">
        <v>0.2</v>
      </c>
      <c r="AE89" s="25">
        <v>0</v>
      </c>
      <c r="AF89" s="15">
        <v>0</v>
      </c>
      <c r="AG89" s="7">
        <f>G88</f>
        <v>1</v>
      </c>
      <c r="AH89" s="15">
        <v>0</v>
      </c>
      <c r="AI89" s="102" t="s">
        <v>191</v>
      </c>
      <c r="AJ89" s="99" t="s">
        <v>191</v>
      </c>
      <c r="AK89" s="99" t="s">
        <v>191</v>
      </c>
      <c r="AL89" s="8" t="s">
        <v>191</v>
      </c>
    </row>
    <row r="90" spans="1:38" s="4" customFormat="1" ht="97.5" customHeight="1" x14ac:dyDescent="0.25">
      <c r="A90" s="83" t="str">
        <f t="shared" si="19"/>
        <v>1.OG-1002-06-2</v>
      </c>
      <c r="B90" s="78" t="str">
        <f>B88</f>
        <v>1.OG</v>
      </c>
      <c r="C90" s="34">
        <f>C88</f>
        <v>1002</v>
      </c>
      <c r="D90" s="8" t="str">
        <f>D88</f>
        <v>Flur Rezeption</v>
      </c>
      <c r="E90" s="7" t="str">
        <f>E88</f>
        <v>06</v>
      </c>
      <c r="F90" s="7">
        <v>2</v>
      </c>
      <c r="G90" s="37" t="s">
        <v>191</v>
      </c>
      <c r="H90" s="36"/>
      <c r="I90" s="36" t="s">
        <v>191</v>
      </c>
      <c r="J90" s="36" t="s">
        <v>191</v>
      </c>
      <c r="K90" s="36" t="s">
        <v>191</v>
      </c>
      <c r="L90" s="36" t="s">
        <v>191</v>
      </c>
      <c r="M90" s="36" t="s">
        <v>191</v>
      </c>
      <c r="N90" s="37"/>
      <c r="O90" s="39" t="s">
        <v>191</v>
      </c>
      <c r="P90" s="36" t="s">
        <v>191</v>
      </c>
      <c r="Q90" s="16" t="s">
        <v>191</v>
      </c>
      <c r="R90" s="129" t="s">
        <v>193</v>
      </c>
      <c r="S90" s="129" t="s">
        <v>193</v>
      </c>
      <c r="T90" s="16" t="s">
        <v>191</v>
      </c>
      <c r="U90" s="109" t="s">
        <v>191</v>
      </c>
      <c r="V90" s="26" t="s">
        <v>191</v>
      </c>
      <c r="W90" s="111" t="s">
        <v>191</v>
      </c>
      <c r="X90" s="28" t="s">
        <v>191</v>
      </c>
      <c r="Y90" s="28" t="s">
        <v>191</v>
      </c>
      <c r="Z90" s="28" t="s">
        <v>191</v>
      </c>
      <c r="AA90" s="117">
        <v>0</v>
      </c>
      <c r="AB90" s="72">
        <v>0</v>
      </c>
      <c r="AC90" s="25">
        <v>0</v>
      </c>
      <c r="AD90" s="119">
        <v>0.2</v>
      </c>
      <c r="AE90" s="25">
        <v>0</v>
      </c>
      <c r="AF90" s="15">
        <v>0</v>
      </c>
      <c r="AG90" s="7">
        <f>G88</f>
        <v>1</v>
      </c>
      <c r="AH90" s="15">
        <v>0</v>
      </c>
      <c r="AI90" s="95" t="s">
        <v>191</v>
      </c>
      <c r="AJ90" s="99" t="s">
        <v>191</v>
      </c>
      <c r="AK90" s="16" t="s">
        <v>191</v>
      </c>
      <c r="AL90" s="8" t="s">
        <v>191</v>
      </c>
    </row>
    <row r="91" spans="1:38" s="4" customFormat="1" ht="14.25" customHeight="1" x14ac:dyDescent="0.25">
      <c r="A91" s="84"/>
      <c r="B91" s="79"/>
      <c r="C91" s="53"/>
      <c r="D91" s="56"/>
      <c r="E91" s="55"/>
      <c r="F91" s="55"/>
      <c r="G91" s="55"/>
      <c r="H91" s="53"/>
      <c r="I91" s="53"/>
      <c r="J91" s="53"/>
      <c r="K91" s="53"/>
      <c r="L91" s="53"/>
      <c r="M91" s="53"/>
      <c r="N91" s="55"/>
      <c r="O91" s="57"/>
      <c r="P91" s="53"/>
      <c r="Q91" s="63"/>
      <c r="R91" s="130"/>
      <c r="S91" s="130"/>
      <c r="T91" s="63"/>
      <c r="U91" s="63"/>
      <c r="V91" s="69"/>
      <c r="W91" s="69"/>
      <c r="X91" s="59"/>
      <c r="Y91" s="56"/>
      <c r="Z91" s="56"/>
      <c r="AA91" s="114"/>
      <c r="AB91" s="59"/>
      <c r="AC91" s="56"/>
      <c r="AD91" s="56"/>
      <c r="AE91" s="56"/>
      <c r="AF91" s="62"/>
      <c r="AG91" s="55"/>
      <c r="AH91" s="62"/>
      <c r="AI91" s="101"/>
      <c r="AJ91" s="100"/>
      <c r="AK91" s="63"/>
      <c r="AL91" s="56"/>
    </row>
    <row r="92" spans="1:38" s="4" customFormat="1" ht="97.5" customHeight="1" x14ac:dyDescent="0.25">
      <c r="A92" s="82" t="str">
        <f>CONCATENATE(B92,"-",C92,"-",E92,"-",F92)</f>
        <v>1.OG-1002-07-X</v>
      </c>
      <c r="B92" s="77" t="s">
        <v>271</v>
      </c>
      <c r="C92" s="45">
        <v>1002</v>
      </c>
      <c r="D92" s="47" t="s">
        <v>292</v>
      </c>
      <c r="E92" s="88" t="s">
        <v>293</v>
      </c>
      <c r="F92" s="46" t="s">
        <v>182</v>
      </c>
      <c r="G92" s="46">
        <v>1</v>
      </c>
      <c r="H92" s="47" t="s">
        <v>294</v>
      </c>
      <c r="I92" s="35" t="s">
        <v>184</v>
      </c>
      <c r="J92" s="35" t="s">
        <v>241</v>
      </c>
      <c r="K92" s="35" t="s">
        <v>186</v>
      </c>
      <c r="L92" s="46" t="s">
        <v>295</v>
      </c>
      <c r="M92" s="35" t="s">
        <v>188</v>
      </c>
      <c r="N92" s="46" t="s">
        <v>189</v>
      </c>
      <c r="O92" s="48" t="s">
        <v>125</v>
      </c>
      <c r="P92" s="70" t="s">
        <v>296</v>
      </c>
      <c r="Q92" s="52" t="s">
        <v>191</v>
      </c>
      <c r="R92" s="128"/>
      <c r="S92" s="128"/>
      <c r="T92" s="52" t="s">
        <v>191</v>
      </c>
      <c r="U92" s="50" t="s">
        <v>191</v>
      </c>
      <c r="V92" s="71" t="s">
        <v>191</v>
      </c>
      <c r="W92" s="66" t="s">
        <v>191</v>
      </c>
      <c r="X92" s="50" t="s">
        <v>191</v>
      </c>
      <c r="Y92" s="38" t="s">
        <v>191</v>
      </c>
      <c r="Z92" s="38" t="s">
        <v>191</v>
      </c>
      <c r="AA92" s="115" t="s">
        <v>191</v>
      </c>
      <c r="AB92" s="66"/>
      <c r="AC92" s="66" t="s">
        <v>191</v>
      </c>
      <c r="AD92" s="66" t="s">
        <v>191</v>
      </c>
      <c r="AE92" s="66" t="s">
        <v>191</v>
      </c>
      <c r="AF92" s="66" t="s">
        <v>191</v>
      </c>
      <c r="AG92" s="66" t="s">
        <v>191</v>
      </c>
      <c r="AH92" s="66" t="s">
        <v>191</v>
      </c>
      <c r="AI92" s="93" t="s">
        <v>191</v>
      </c>
      <c r="AJ92" s="97" t="s">
        <v>191</v>
      </c>
      <c r="AK92" s="52" t="s">
        <v>191</v>
      </c>
      <c r="AL92" s="38" t="s">
        <v>191</v>
      </c>
    </row>
    <row r="93" spans="1:38" s="4" customFormat="1" ht="97.5" customHeight="1" x14ac:dyDescent="0.25">
      <c r="A93" s="83" t="str">
        <f t="shared" ref="A93:A94" si="20">CONCATENATE(B93,"-",C93,"-",E93,"-",F93)</f>
        <v>1.OG-1002-07-1</v>
      </c>
      <c r="B93" s="78" t="str">
        <f>B92</f>
        <v>1.OG</v>
      </c>
      <c r="C93" s="34">
        <f>C92</f>
        <v>1002</v>
      </c>
      <c r="D93" s="8" t="str">
        <f>D92</f>
        <v>Rezeption Fenster</v>
      </c>
      <c r="E93" s="7" t="str">
        <f>E92</f>
        <v>07</v>
      </c>
      <c r="F93" s="7">
        <v>1</v>
      </c>
      <c r="G93" s="37" t="s">
        <v>191</v>
      </c>
      <c r="H93" s="36" t="s">
        <v>191</v>
      </c>
      <c r="I93" s="36" t="s">
        <v>191</v>
      </c>
      <c r="J93" s="36" t="s">
        <v>191</v>
      </c>
      <c r="K93" s="36" t="s">
        <v>191</v>
      </c>
      <c r="L93" s="36" t="s">
        <v>191</v>
      </c>
      <c r="M93" s="36" t="s">
        <v>191</v>
      </c>
      <c r="N93" s="37" t="s">
        <v>189</v>
      </c>
      <c r="O93" s="39" t="s">
        <v>191</v>
      </c>
      <c r="P93" s="36" t="s">
        <v>191</v>
      </c>
      <c r="Q93" s="16" t="s">
        <v>191</v>
      </c>
      <c r="R93" s="129" t="s">
        <v>193</v>
      </c>
      <c r="S93" s="129" t="s">
        <v>193</v>
      </c>
      <c r="T93" s="99" t="s">
        <v>191</v>
      </c>
      <c r="U93" s="109" t="s">
        <v>191</v>
      </c>
      <c r="V93" s="26" t="s">
        <v>191</v>
      </c>
      <c r="W93" s="111" t="s">
        <v>191</v>
      </c>
      <c r="X93" s="28" t="s">
        <v>191</v>
      </c>
      <c r="Y93" s="28" t="s">
        <v>191</v>
      </c>
      <c r="Z93" s="28" t="s">
        <v>191</v>
      </c>
      <c r="AA93" s="116">
        <v>0</v>
      </c>
      <c r="AB93" s="19">
        <v>0</v>
      </c>
      <c r="AC93" s="25">
        <v>0</v>
      </c>
      <c r="AD93" s="119">
        <v>0.2</v>
      </c>
      <c r="AE93" s="25">
        <v>0</v>
      </c>
      <c r="AF93" s="15">
        <v>0</v>
      </c>
      <c r="AG93" s="7">
        <f>G92</f>
        <v>1</v>
      </c>
      <c r="AH93" s="15">
        <v>0</v>
      </c>
      <c r="AI93" s="102" t="s">
        <v>191</v>
      </c>
      <c r="AJ93" s="99" t="s">
        <v>191</v>
      </c>
      <c r="AK93" s="99" t="s">
        <v>191</v>
      </c>
      <c r="AL93" s="8" t="s">
        <v>191</v>
      </c>
    </row>
    <row r="94" spans="1:38" s="4" customFormat="1" ht="97.5" customHeight="1" x14ac:dyDescent="0.25">
      <c r="A94" s="83" t="str">
        <f t="shared" si="20"/>
        <v>1.OG-1002-07-2</v>
      </c>
      <c r="B94" s="78" t="str">
        <f>B92</f>
        <v>1.OG</v>
      </c>
      <c r="C94" s="34">
        <f>C92</f>
        <v>1002</v>
      </c>
      <c r="D94" s="8" t="str">
        <f>D92</f>
        <v>Rezeption Fenster</v>
      </c>
      <c r="E94" s="7" t="str">
        <f>E92</f>
        <v>07</v>
      </c>
      <c r="F94" s="7">
        <v>2</v>
      </c>
      <c r="G94" s="37" t="s">
        <v>191</v>
      </c>
      <c r="H94" s="36"/>
      <c r="I94" s="36" t="s">
        <v>191</v>
      </c>
      <c r="J94" s="36" t="s">
        <v>191</v>
      </c>
      <c r="K94" s="36" t="s">
        <v>191</v>
      </c>
      <c r="L94" s="36" t="s">
        <v>191</v>
      </c>
      <c r="M94" s="36" t="s">
        <v>191</v>
      </c>
      <c r="N94" s="37"/>
      <c r="O94" s="39" t="s">
        <v>191</v>
      </c>
      <c r="P94" s="36" t="s">
        <v>191</v>
      </c>
      <c r="Q94" s="16" t="s">
        <v>191</v>
      </c>
      <c r="R94" s="129" t="s">
        <v>193</v>
      </c>
      <c r="S94" s="129" t="s">
        <v>193</v>
      </c>
      <c r="T94" s="16" t="s">
        <v>191</v>
      </c>
      <c r="U94" s="109" t="s">
        <v>191</v>
      </c>
      <c r="V94" s="26" t="s">
        <v>191</v>
      </c>
      <c r="W94" s="111" t="s">
        <v>191</v>
      </c>
      <c r="X94" s="28" t="s">
        <v>191</v>
      </c>
      <c r="Y94" s="28" t="s">
        <v>191</v>
      </c>
      <c r="Z94" s="28" t="s">
        <v>191</v>
      </c>
      <c r="AA94" s="117">
        <v>0</v>
      </c>
      <c r="AB94" s="72">
        <v>0</v>
      </c>
      <c r="AC94" s="25">
        <v>0</v>
      </c>
      <c r="AD94" s="119">
        <v>0.2</v>
      </c>
      <c r="AE94" s="25">
        <v>0</v>
      </c>
      <c r="AF94" s="15">
        <v>0</v>
      </c>
      <c r="AG94" s="7">
        <f>G92</f>
        <v>1</v>
      </c>
      <c r="AH94" s="15">
        <v>0</v>
      </c>
      <c r="AI94" s="95" t="s">
        <v>191</v>
      </c>
      <c r="AJ94" s="99" t="s">
        <v>191</v>
      </c>
      <c r="AK94" s="16" t="s">
        <v>191</v>
      </c>
      <c r="AL94" s="8" t="s">
        <v>191</v>
      </c>
    </row>
    <row r="95" spans="1:38" s="4" customFormat="1" ht="14.25" customHeight="1" x14ac:dyDescent="0.25">
      <c r="A95" s="84"/>
      <c r="B95" s="79"/>
      <c r="C95" s="53"/>
      <c r="D95" s="56"/>
      <c r="E95" s="55"/>
      <c r="F95" s="55"/>
      <c r="G95" s="55"/>
      <c r="H95" s="53"/>
      <c r="I95" s="53"/>
      <c r="J95" s="53"/>
      <c r="K95" s="53"/>
      <c r="L95" s="53"/>
      <c r="M95" s="53"/>
      <c r="N95" s="55"/>
      <c r="O95" s="57"/>
      <c r="P95" s="53"/>
      <c r="Q95" s="63"/>
      <c r="R95" s="130"/>
      <c r="S95" s="130"/>
      <c r="T95" s="63"/>
      <c r="U95" s="63"/>
      <c r="V95" s="69"/>
      <c r="W95" s="69"/>
      <c r="X95" s="59"/>
      <c r="Y95" s="56"/>
      <c r="Z95" s="56"/>
      <c r="AA95" s="114"/>
      <c r="AB95" s="59"/>
      <c r="AC95" s="56"/>
      <c r="AD95" s="56"/>
      <c r="AE95" s="56"/>
      <c r="AF95" s="62"/>
      <c r="AG95" s="55"/>
      <c r="AH95" s="62"/>
      <c r="AI95" s="101"/>
      <c r="AJ95" s="100"/>
      <c r="AK95" s="63"/>
      <c r="AL95" s="56"/>
    </row>
    <row r="96" spans="1:38" s="4" customFormat="1" ht="97.5" customHeight="1" x14ac:dyDescent="0.25">
      <c r="A96" s="82" t="str">
        <f>CONCATENATE(B96,"-",C96,"-",E96,"-",F96)</f>
        <v>1.OG-1002-08-X</v>
      </c>
      <c r="B96" s="77" t="s">
        <v>271</v>
      </c>
      <c r="C96" s="45">
        <v>1002</v>
      </c>
      <c r="D96" s="47" t="s">
        <v>292</v>
      </c>
      <c r="E96" s="88" t="s">
        <v>297</v>
      </c>
      <c r="F96" s="46" t="s">
        <v>182</v>
      </c>
      <c r="G96" s="46">
        <v>1</v>
      </c>
      <c r="H96" s="47" t="s">
        <v>298</v>
      </c>
      <c r="I96" s="35" t="s">
        <v>184</v>
      </c>
      <c r="J96" s="35" t="s">
        <v>241</v>
      </c>
      <c r="K96" s="35" t="s">
        <v>186</v>
      </c>
      <c r="L96" s="46" t="s">
        <v>299</v>
      </c>
      <c r="M96" s="35" t="s">
        <v>188</v>
      </c>
      <c r="N96" s="46" t="s">
        <v>189</v>
      </c>
      <c r="O96" s="48" t="s">
        <v>125</v>
      </c>
      <c r="P96" s="70" t="s">
        <v>191</v>
      </c>
      <c r="Q96" s="52" t="s">
        <v>191</v>
      </c>
      <c r="R96" s="128"/>
      <c r="S96" s="128"/>
      <c r="T96" s="52" t="s">
        <v>191</v>
      </c>
      <c r="U96" s="50" t="s">
        <v>191</v>
      </c>
      <c r="V96" s="71" t="s">
        <v>191</v>
      </c>
      <c r="W96" s="66" t="s">
        <v>191</v>
      </c>
      <c r="X96" s="50" t="s">
        <v>191</v>
      </c>
      <c r="Y96" s="38" t="s">
        <v>191</v>
      </c>
      <c r="Z96" s="38" t="s">
        <v>191</v>
      </c>
      <c r="AA96" s="115" t="s">
        <v>191</v>
      </c>
      <c r="AB96" s="66"/>
      <c r="AC96" s="66" t="s">
        <v>191</v>
      </c>
      <c r="AD96" s="66" t="s">
        <v>191</v>
      </c>
      <c r="AE96" s="66" t="s">
        <v>191</v>
      </c>
      <c r="AF96" s="66" t="s">
        <v>191</v>
      </c>
      <c r="AG96" s="66" t="s">
        <v>191</v>
      </c>
      <c r="AH96" s="66" t="s">
        <v>191</v>
      </c>
      <c r="AI96" s="93" t="s">
        <v>191</v>
      </c>
      <c r="AJ96" s="97" t="s">
        <v>191</v>
      </c>
      <c r="AK96" s="52" t="s">
        <v>191</v>
      </c>
      <c r="AL96" s="38" t="s">
        <v>191</v>
      </c>
    </row>
    <row r="97" spans="1:38" s="4" customFormat="1" ht="97.5" customHeight="1" x14ac:dyDescent="0.25">
      <c r="A97" s="83" t="str">
        <f t="shared" ref="A97:A98" si="21">CONCATENATE(B97,"-",C97,"-",E97,"-",F97)</f>
        <v>1.OG-1002-08-1</v>
      </c>
      <c r="B97" s="78" t="str">
        <f>B96</f>
        <v>1.OG</v>
      </c>
      <c r="C97" s="34">
        <f>C96</f>
        <v>1002</v>
      </c>
      <c r="D97" s="8" t="str">
        <f>D96</f>
        <v>Rezeption Fenster</v>
      </c>
      <c r="E97" s="7" t="str">
        <f>E96</f>
        <v>08</v>
      </c>
      <c r="F97" s="7">
        <v>1</v>
      </c>
      <c r="G97" s="37" t="s">
        <v>191</v>
      </c>
      <c r="H97" s="36" t="s">
        <v>191</v>
      </c>
      <c r="I97" s="36" t="s">
        <v>191</v>
      </c>
      <c r="J97" s="36" t="s">
        <v>191</v>
      </c>
      <c r="K97" s="36" t="s">
        <v>191</v>
      </c>
      <c r="L97" s="36" t="s">
        <v>191</v>
      </c>
      <c r="M97" s="36" t="s">
        <v>191</v>
      </c>
      <c r="N97" s="37" t="s">
        <v>189</v>
      </c>
      <c r="O97" s="39" t="s">
        <v>191</v>
      </c>
      <c r="P97" s="36" t="s">
        <v>191</v>
      </c>
      <c r="Q97" s="16" t="s">
        <v>191</v>
      </c>
      <c r="R97" s="129" t="s">
        <v>193</v>
      </c>
      <c r="S97" s="129" t="s">
        <v>193</v>
      </c>
      <c r="T97" s="99" t="s">
        <v>191</v>
      </c>
      <c r="U97" s="109" t="s">
        <v>191</v>
      </c>
      <c r="V97" s="26" t="s">
        <v>191</v>
      </c>
      <c r="W97" s="111" t="s">
        <v>191</v>
      </c>
      <c r="X97" s="28" t="s">
        <v>191</v>
      </c>
      <c r="Y97" s="28" t="s">
        <v>191</v>
      </c>
      <c r="Z97" s="28" t="s">
        <v>191</v>
      </c>
      <c r="AA97" s="116">
        <v>0</v>
      </c>
      <c r="AB97" s="19">
        <v>0</v>
      </c>
      <c r="AC97" s="25">
        <v>0</v>
      </c>
      <c r="AD97" s="119">
        <v>0.2</v>
      </c>
      <c r="AE97" s="25">
        <v>0</v>
      </c>
      <c r="AF97" s="15">
        <v>0</v>
      </c>
      <c r="AG97" s="7">
        <f>G96</f>
        <v>1</v>
      </c>
      <c r="AH97" s="15">
        <v>0</v>
      </c>
      <c r="AI97" s="102" t="s">
        <v>191</v>
      </c>
      <c r="AJ97" s="99" t="s">
        <v>191</v>
      </c>
      <c r="AK97" s="99" t="s">
        <v>191</v>
      </c>
      <c r="AL97" s="8" t="s">
        <v>191</v>
      </c>
    </row>
    <row r="98" spans="1:38" s="4" customFormat="1" ht="97.5" customHeight="1" x14ac:dyDescent="0.25">
      <c r="A98" s="83" t="str">
        <f t="shared" si="21"/>
        <v>1.OG-1002-08-2</v>
      </c>
      <c r="B98" s="78" t="str">
        <f>B96</f>
        <v>1.OG</v>
      </c>
      <c r="C98" s="34">
        <f>C96</f>
        <v>1002</v>
      </c>
      <c r="D98" s="8" t="str">
        <f>D96</f>
        <v>Rezeption Fenster</v>
      </c>
      <c r="E98" s="7" t="str">
        <f>E96</f>
        <v>08</v>
      </c>
      <c r="F98" s="7">
        <v>2</v>
      </c>
      <c r="G98" s="37" t="s">
        <v>191</v>
      </c>
      <c r="H98" s="36"/>
      <c r="I98" s="36" t="s">
        <v>191</v>
      </c>
      <c r="J98" s="36" t="s">
        <v>191</v>
      </c>
      <c r="K98" s="36" t="s">
        <v>191</v>
      </c>
      <c r="L98" s="36" t="s">
        <v>191</v>
      </c>
      <c r="M98" s="36" t="s">
        <v>191</v>
      </c>
      <c r="N98" s="37"/>
      <c r="O98" s="39" t="s">
        <v>191</v>
      </c>
      <c r="P98" s="36" t="s">
        <v>191</v>
      </c>
      <c r="Q98" s="16" t="s">
        <v>191</v>
      </c>
      <c r="R98" s="129" t="s">
        <v>193</v>
      </c>
      <c r="S98" s="129" t="s">
        <v>193</v>
      </c>
      <c r="T98" s="16" t="s">
        <v>191</v>
      </c>
      <c r="U98" s="109" t="s">
        <v>191</v>
      </c>
      <c r="V98" s="26" t="s">
        <v>191</v>
      </c>
      <c r="W98" s="111" t="s">
        <v>191</v>
      </c>
      <c r="X98" s="28" t="s">
        <v>191</v>
      </c>
      <c r="Y98" s="28" t="s">
        <v>191</v>
      </c>
      <c r="Z98" s="28" t="s">
        <v>191</v>
      </c>
      <c r="AA98" s="117">
        <v>0</v>
      </c>
      <c r="AB98" s="72">
        <v>0</v>
      </c>
      <c r="AC98" s="25">
        <v>0</v>
      </c>
      <c r="AD98" s="119">
        <v>0.2</v>
      </c>
      <c r="AE98" s="25">
        <v>0</v>
      </c>
      <c r="AF98" s="15">
        <v>0</v>
      </c>
      <c r="AG98" s="7">
        <f>G96</f>
        <v>1</v>
      </c>
      <c r="AH98" s="15">
        <v>0</v>
      </c>
      <c r="AI98" s="95" t="s">
        <v>191</v>
      </c>
      <c r="AJ98" s="99" t="s">
        <v>191</v>
      </c>
      <c r="AK98" s="16" t="s">
        <v>191</v>
      </c>
      <c r="AL98" s="8" t="s">
        <v>191</v>
      </c>
    </row>
    <row r="99" spans="1:38" s="4" customFormat="1" ht="14.25" customHeight="1" x14ac:dyDescent="0.25">
      <c r="A99" s="84"/>
      <c r="B99" s="79"/>
      <c r="C99" s="53"/>
      <c r="D99" s="56"/>
      <c r="E99" s="55"/>
      <c r="F99" s="55"/>
      <c r="G99" s="55"/>
      <c r="H99" s="53"/>
      <c r="I99" s="53"/>
      <c r="J99" s="53"/>
      <c r="K99" s="53"/>
      <c r="L99" s="53"/>
      <c r="M99" s="53"/>
      <c r="N99" s="55"/>
      <c r="O99" s="57"/>
      <c r="P99" s="53"/>
      <c r="Q99" s="63"/>
      <c r="R99" s="130"/>
      <c r="S99" s="130"/>
      <c r="T99" s="63"/>
      <c r="U99" s="63"/>
      <c r="V99" s="69"/>
      <c r="W99" s="69"/>
      <c r="X99" s="59"/>
      <c r="Y99" s="56"/>
      <c r="Z99" s="56"/>
      <c r="AA99" s="114"/>
      <c r="AB99" s="59"/>
      <c r="AC99" s="56"/>
      <c r="AD99" s="56"/>
      <c r="AE99" s="56"/>
      <c r="AF99" s="62"/>
      <c r="AG99" s="55"/>
      <c r="AH99" s="62"/>
      <c r="AI99" s="101"/>
      <c r="AJ99" s="100"/>
      <c r="AK99" s="63"/>
      <c r="AL99" s="56"/>
    </row>
    <row r="100" spans="1:38" s="4" customFormat="1" ht="97.5" customHeight="1" x14ac:dyDescent="0.25">
      <c r="A100" s="82" t="str">
        <f>CONCATENATE(B100,"-",C100,"-",E100,"-",F100)</f>
        <v>1.OG-1002-09-X</v>
      </c>
      <c r="B100" s="77" t="s">
        <v>271</v>
      </c>
      <c r="C100" s="45">
        <v>1002</v>
      </c>
      <c r="D100" s="47" t="s">
        <v>292</v>
      </c>
      <c r="E100" s="88" t="s">
        <v>300</v>
      </c>
      <c r="F100" s="46" t="s">
        <v>182</v>
      </c>
      <c r="G100" s="46" t="s">
        <v>191</v>
      </c>
      <c r="H100" s="47" t="s">
        <v>301</v>
      </c>
      <c r="I100" s="35" t="s">
        <v>184</v>
      </c>
      <c r="J100" s="35" t="s">
        <v>241</v>
      </c>
      <c r="K100" s="35" t="s">
        <v>191</v>
      </c>
      <c r="L100" s="46" t="s">
        <v>302</v>
      </c>
      <c r="M100" s="35" t="s">
        <v>188</v>
      </c>
      <c r="N100" s="46" t="s">
        <v>189</v>
      </c>
      <c r="O100" s="48" t="s">
        <v>125</v>
      </c>
      <c r="P100" s="70" t="s">
        <v>191</v>
      </c>
      <c r="Q100" s="52" t="s">
        <v>191</v>
      </c>
      <c r="R100" s="128"/>
      <c r="S100" s="128"/>
      <c r="T100" s="52" t="s">
        <v>191</v>
      </c>
      <c r="U100" s="50" t="s">
        <v>191</v>
      </c>
      <c r="V100" s="71" t="s">
        <v>191</v>
      </c>
      <c r="W100" s="66" t="s">
        <v>191</v>
      </c>
      <c r="X100" s="50" t="s">
        <v>191</v>
      </c>
      <c r="Y100" s="38" t="s">
        <v>191</v>
      </c>
      <c r="Z100" s="38" t="s">
        <v>191</v>
      </c>
      <c r="AA100" s="115" t="s">
        <v>191</v>
      </c>
      <c r="AB100" s="66"/>
      <c r="AC100" s="66" t="s">
        <v>191</v>
      </c>
      <c r="AD100" s="66" t="s">
        <v>191</v>
      </c>
      <c r="AE100" s="66" t="s">
        <v>191</v>
      </c>
      <c r="AF100" s="66" t="s">
        <v>191</v>
      </c>
      <c r="AG100" s="66" t="s">
        <v>191</v>
      </c>
      <c r="AH100" s="66" t="s">
        <v>191</v>
      </c>
      <c r="AI100" s="93" t="s">
        <v>191</v>
      </c>
      <c r="AJ100" s="97" t="s">
        <v>191</v>
      </c>
      <c r="AK100" s="52" t="s">
        <v>191</v>
      </c>
      <c r="AL100" s="38" t="s">
        <v>191</v>
      </c>
    </row>
    <row r="101" spans="1:38" s="4" customFormat="1" ht="97.5" customHeight="1" x14ac:dyDescent="0.25">
      <c r="A101" s="83" t="str">
        <f t="shared" ref="A101:A102" si="22">CONCATENATE(B101,"-",C101,"-",E101,"-",F101)</f>
        <v>1.OG-1002-09-1</v>
      </c>
      <c r="B101" s="78" t="str">
        <f>B100</f>
        <v>1.OG</v>
      </c>
      <c r="C101" s="34">
        <f>C100</f>
        <v>1002</v>
      </c>
      <c r="D101" s="8" t="str">
        <f>D100</f>
        <v>Rezeption Fenster</v>
      </c>
      <c r="E101" s="7" t="str">
        <f>E100</f>
        <v>09</v>
      </c>
      <c r="F101" s="7">
        <v>1</v>
      </c>
      <c r="G101" s="37" t="s">
        <v>191</v>
      </c>
      <c r="H101" s="36" t="s">
        <v>191</v>
      </c>
      <c r="I101" s="36" t="s">
        <v>191</v>
      </c>
      <c r="J101" s="36" t="s">
        <v>191</v>
      </c>
      <c r="K101" s="36" t="s">
        <v>191</v>
      </c>
      <c r="L101" s="36" t="s">
        <v>191</v>
      </c>
      <c r="M101" s="36" t="s">
        <v>191</v>
      </c>
      <c r="N101" s="37" t="s">
        <v>189</v>
      </c>
      <c r="O101" s="39" t="s">
        <v>191</v>
      </c>
      <c r="P101" s="36" t="s">
        <v>191</v>
      </c>
      <c r="Q101" s="16" t="s">
        <v>191</v>
      </c>
      <c r="R101" s="129" t="s">
        <v>193</v>
      </c>
      <c r="S101" s="129" t="s">
        <v>193</v>
      </c>
      <c r="T101" s="99" t="s">
        <v>191</v>
      </c>
      <c r="U101" s="109" t="s">
        <v>191</v>
      </c>
      <c r="V101" s="26" t="s">
        <v>191</v>
      </c>
      <c r="W101" s="111" t="s">
        <v>191</v>
      </c>
      <c r="X101" s="28" t="s">
        <v>191</v>
      </c>
      <c r="Y101" s="28" t="s">
        <v>191</v>
      </c>
      <c r="Z101" s="28" t="s">
        <v>191</v>
      </c>
      <c r="AA101" s="116">
        <v>0</v>
      </c>
      <c r="AB101" s="19">
        <v>0</v>
      </c>
      <c r="AC101" s="25">
        <v>0</v>
      </c>
      <c r="AD101" s="119">
        <v>0.2</v>
      </c>
      <c r="AE101" s="25">
        <v>0</v>
      </c>
      <c r="AF101" s="15">
        <v>0</v>
      </c>
      <c r="AG101" s="7" t="str">
        <f>G100</f>
        <v>-</v>
      </c>
      <c r="AH101" s="15">
        <v>0</v>
      </c>
      <c r="AI101" s="102" t="s">
        <v>191</v>
      </c>
      <c r="AJ101" s="99" t="s">
        <v>191</v>
      </c>
      <c r="AK101" s="99" t="s">
        <v>191</v>
      </c>
      <c r="AL101" s="8" t="s">
        <v>191</v>
      </c>
    </row>
    <row r="102" spans="1:38" s="4" customFormat="1" ht="97.5" customHeight="1" x14ac:dyDescent="0.25">
      <c r="A102" s="83" t="str">
        <f t="shared" si="22"/>
        <v>1.OG-1002-09-2</v>
      </c>
      <c r="B102" s="78" t="str">
        <f>B100</f>
        <v>1.OG</v>
      </c>
      <c r="C102" s="34">
        <f>C100</f>
        <v>1002</v>
      </c>
      <c r="D102" s="8" t="str">
        <f>D100</f>
        <v>Rezeption Fenster</v>
      </c>
      <c r="E102" s="7" t="str">
        <f>E100</f>
        <v>09</v>
      </c>
      <c r="F102" s="7">
        <v>2</v>
      </c>
      <c r="G102" s="37" t="s">
        <v>191</v>
      </c>
      <c r="H102" s="36"/>
      <c r="I102" s="36" t="s">
        <v>191</v>
      </c>
      <c r="J102" s="36" t="s">
        <v>191</v>
      </c>
      <c r="K102" s="36" t="s">
        <v>191</v>
      </c>
      <c r="L102" s="36" t="s">
        <v>191</v>
      </c>
      <c r="M102" s="36" t="s">
        <v>191</v>
      </c>
      <c r="N102" s="37"/>
      <c r="O102" s="39" t="s">
        <v>191</v>
      </c>
      <c r="P102" s="36" t="s">
        <v>191</v>
      </c>
      <c r="Q102" s="16" t="s">
        <v>191</v>
      </c>
      <c r="R102" s="129" t="s">
        <v>193</v>
      </c>
      <c r="S102" s="129" t="s">
        <v>193</v>
      </c>
      <c r="T102" s="16" t="s">
        <v>191</v>
      </c>
      <c r="U102" s="109" t="s">
        <v>191</v>
      </c>
      <c r="V102" s="26" t="s">
        <v>191</v>
      </c>
      <c r="W102" s="111" t="s">
        <v>191</v>
      </c>
      <c r="X102" s="28" t="s">
        <v>191</v>
      </c>
      <c r="Y102" s="28" t="s">
        <v>191</v>
      </c>
      <c r="Z102" s="28" t="s">
        <v>191</v>
      </c>
      <c r="AA102" s="117">
        <v>0</v>
      </c>
      <c r="AB102" s="72">
        <v>0</v>
      </c>
      <c r="AC102" s="25">
        <v>0</v>
      </c>
      <c r="AD102" s="119">
        <v>0.2</v>
      </c>
      <c r="AE102" s="25">
        <v>0</v>
      </c>
      <c r="AF102" s="15">
        <v>0</v>
      </c>
      <c r="AG102" s="7" t="str">
        <f>G100</f>
        <v>-</v>
      </c>
      <c r="AH102" s="15">
        <v>0</v>
      </c>
      <c r="AI102" s="95" t="s">
        <v>191</v>
      </c>
      <c r="AJ102" s="99" t="s">
        <v>191</v>
      </c>
      <c r="AK102" s="16" t="s">
        <v>191</v>
      </c>
      <c r="AL102" s="8" t="s">
        <v>191</v>
      </c>
    </row>
    <row r="103" spans="1:38" s="4" customFormat="1" ht="14.25" customHeight="1" x14ac:dyDescent="0.25">
      <c r="A103" s="84"/>
      <c r="B103" s="79"/>
      <c r="C103" s="53"/>
      <c r="D103" s="56"/>
      <c r="E103" s="55"/>
      <c r="F103" s="55"/>
      <c r="G103" s="55"/>
      <c r="H103" s="53"/>
      <c r="I103" s="53"/>
      <c r="J103" s="53"/>
      <c r="K103" s="53"/>
      <c r="L103" s="53"/>
      <c r="M103" s="53"/>
      <c r="N103" s="55"/>
      <c r="O103" s="57"/>
      <c r="P103" s="53"/>
      <c r="Q103" s="63"/>
      <c r="R103" s="130"/>
      <c r="S103" s="130"/>
      <c r="T103" s="63"/>
      <c r="U103" s="63"/>
      <c r="V103" s="69"/>
      <c r="W103" s="69"/>
      <c r="X103" s="59"/>
      <c r="Y103" s="56"/>
      <c r="Z103" s="56"/>
      <c r="AA103" s="114"/>
      <c r="AB103" s="59"/>
      <c r="AC103" s="56"/>
      <c r="AD103" s="56"/>
      <c r="AE103" s="56"/>
      <c r="AF103" s="62"/>
      <c r="AG103" s="55"/>
      <c r="AH103" s="62"/>
      <c r="AI103" s="101"/>
      <c r="AJ103" s="100"/>
      <c r="AK103" s="63"/>
      <c r="AL103" s="56"/>
    </row>
    <row r="104" spans="1:38" s="4" customFormat="1" ht="97.5" customHeight="1" x14ac:dyDescent="0.25">
      <c r="A104" s="82" t="str">
        <f>CONCATENATE(B104,"-",C104,"-",E104,"-",F104)</f>
        <v>1.OG-1006-01-X</v>
      </c>
      <c r="B104" s="77" t="s">
        <v>271</v>
      </c>
      <c r="C104" s="45">
        <v>1006</v>
      </c>
      <c r="D104" s="47" t="s">
        <v>303</v>
      </c>
      <c r="E104" s="88" t="s">
        <v>181</v>
      </c>
      <c r="F104" s="46" t="s">
        <v>182</v>
      </c>
      <c r="G104" s="46">
        <v>4</v>
      </c>
      <c r="H104" s="47" t="s">
        <v>273</v>
      </c>
      <c r="I104" s="35" t="s">
        <v>184</v>
      </c>
      <c r="J104" s="35" t="s">
        <v>241</v>
      </c>
      <c r="K104" s="35" t="s">
        <v>219</v>
      </c>
      <c r="L104" s="46" t="s">
        <v>274</v>
      </c>
      <c r="M104" s="35" t="s">
        <v>221</v>
      </c>
      <c r="N104" s="46" t="s">
        <v>189</v>
      </c>
      <c r="O104" s="48" t="s">
        <v>130</v>
      </c>
      <c r="P104" s="70" t="s">
        <v>304</v>
      </c>
      <c r="Q104" s="52" t="s">
        <v>191</v>
      </c>
      <c r="R104" s="128"/>
      <c r="S104" s="128"/>
      <c r="T104" s="52" t="s">
        <v>191</v>
      </c>
      <c r="U104" s="50" t="s">
        <v>191</v>
      </c>
      <c r="V104" s="71" t="s">
        <v>191</v>
      </c>
      <c r="W104" s="66" t="s">
        <v>191</v>
      </c>
      <c r="X104" s="50" t="s">
        <v>191</v>
      </c>
      <c r="Y104" s="38" t="s">
        <v>191</v>
      </c>
      <c r="Z104" s="38" t="s">
        <v>191</v>
      </c>
      <c r="AA104" s="115" t="s">
        <v>191</v>
      </c>
      <c r="AB104" s="66"/>
      <c r="AC104" s="66" t="s">
        <v>191</v>
      </c>
      <c r="AD104" s="66" t="s">
        <v>191</v>
      </c>
      <c r="AE104" s="66" t="s">
        <v>191</v>
      </c>
      <c r="AF104" s="66" t="s">
        <v>191</v>
      </c>
      <c r="AG104" s="66" t="s">
        <v>191</v>
      </c>
      <c r="AH104" s="66" t="s">
        <v>191</v>
      </c>
      <c r="AI104" s="93" t="s">
        <v>191</v>
      </c>
      <c r="AJ104" s="97" t="s">
        <v>191</v>
      </c>
      <c r="AK104" s="52" t="s">
        <v>191</v>
      </c>
      <c r="AL104" s="38" t="s">
        <v>191</v>
      </c>
    </row>
    <row r="105" spans="1:38" s="4" customFormat="1" ht="97.5" customHeight="1" x14ac:dyDescent="0.25">
      <c r="A105" s="83" t="str">
        <f t="shared" ref="A105:A106" si="23">CONCATENATE(B105,"-",C105,"-",E105,"-",F105)</f>
        <v>1.OG-1006-01-1</v>
      </c>
      <c r="B105" s="78" t="str">
        <f>B104</f>
        <v>1.OG</v>
      </c>
      <c r="C105" s="34">
        <f>C104</f>
        <v>1006</v>
      </c>
      <c r="D105" s="8" t="str">
        <f>D104</f>
        <v>Boardroom</v>
      </c>
      <c r="E105" s="7" t="str">
        <f>E104</f>
        <v>01</v>
      </c>
      <c r="F105" s="7">
        <v>1</v>
      </c>
      <c r="G105" s="37" t="s">
        <v>191</v>
      </c>
      <c r="H105" s="36" t="s">
        <v>191</v>
      </c>
      <c r="I105" s="36" t="s">
        <v>191</v>
      </c>
      <c r="J105" s="36" t="s">
        <v>191</v>
      </c>
      <c r="K105" s="36" t="s">
        <v>191</v>
      </c>
      <c r="L105" s="36" t="s">
        <v>191</v>
      </c>
      <c r="M105" s="36" t="s">
        <v>191</v>
      </c>
      <c r="N105" s="37" t="s">
        <v>189</v>
      </c>
      <c r="O105" s="39" t="s">
        <v>191</v>
      </c>
      <c r="P105" s="36" t="s">
        <v>191</v>
      </c>
      <c r="Q105" s="16" t="s">
        <v>191</v>
      </c>
      <c r="R105" s="129" t="s">
        <v>193</v>
      </c>
      <c r="S105" s="129" t="s">
        <v>193</v>
      </c>
      <c r="T105" s="99" t="s">
        <v>191</v>
      </c>
      <c r="U105" s="109" t="s">
        <v>191</v>
      </c>
      <c r="V105" s="26" t="s">
        <v>191</v>
      </c>
      <c r="W105" s="111" t="s">
        <v>191</v>
      </c>
      <c r="X105" s="28" t="s">
        <v>191</v>
      </c>
      <c r="Y105" s="28" t="s">
        <v>191</v>
      </c>
      <c r="Z105" s="28" t="s">
        <v>191</v>
      </c>
      <c r="AA105" s="116">
        <v>0</v>
      </c>
      <c r="AB105" s="19">
        <v>0</v>
      </c>
      <c r="AC105" s="25">
        <v>0</v>
      </c>
      <c r="AD105" s="119">
        <v>0.2</v>
      </c>
      <c r="AE105" s="25">
        <v>0</v>
      </c>
      <c r="AF105" s="15">
        <v>0</v>
      </c>
      <c r="AG105" s="7">
        <f>G104</f>
        <v>4</v>
      </c>
      <c r="AH105" s="15">
        <v>0</v>
      </c>
      <c r="AI105" s="102" t="s">
        <v>191</v>
      </c>
      <c r="AJ105" s="99" t="s">
        <v>191</v>
      </c>
      <c r="AK105" s="99" t="s">
        <v>191</v>
      </c>
      <c r="AL105" s="8" t="s">
        <v>191</v>
      </c>
    </row>
    <row r="106" spans="1:38" s="4" customFormat="1" ht="97.5" customHeight="1" x14ac:dyDescent="0.25">
      <c r="A106" s="83" t="str">
        <f t="shared" si="23"/>
        <v>1.OG-1006-01-2</v>
      </c>
      <c r="B106" s="78" t="str">
        <f>B104</f>
        <v>1.OG</v>
      </c>
      <c r="C106" s="34">
        <f>C104</f>
        <v>1006</v>
      </c>
      <c r="D106" s="8" t="str">
        <f>D104</f>
        <v>Boardroom</v>
      </c>
      <c r="E106" s="7" t="str">
        <f>E104</f>
        <v>01</v>
      </c>
      <c r="F106" s="7">
        <v>2</v>
      </c>
      <c r="G106" s="37" t="s">
        <v>191</v>
      </c>
      <c r="H106" s="36"/>
      <c r="I106" s="36" t="s">
        <v>191</v>
      </c>
      <c r="J106" s="36" t="s">
        <v>191</v>
      </c>
      <c r="K106" s="36" t="s">
        <v>191</v>
      </c>
      <c r="L106" s="36" t="s">
        <v>191</v>
      </c>
      <c r="M106" s="36" t="s">
        <v>191</v>
      </c>
      <c r="N106" s="37"/>
      <c r="O106" s="39" t="s">
        <v>191</v>
      </c>
      <c r="P106" s="36" t="s">
        <v>191</v>
      </c>
      <c r="Q106" s="16" t="s">
        <v>191</v>
      </c>
      <c r="R106" s="129" t="s">
        <v>193</v>
      </c>
      <c r="S106" s="129" t="s">
        <v>193</v>
      </c>
      <c r="T106" s="16" t="s">
        <v>191</v>
      </c>
      <c r="U106" s="109" t="s">
        <v>191</v>
      </c>
      <c r="V106" s="26" t="s">
        <v>191</v>
      </c>
      <c r="W106" s="111" t="s">
        <v>191</v>
      </c>
      <c r="X106" s="28" t="s">
        <v>191</v>
      </c>
      <c r="Y106" s="28" t="s">
        <v>191</v>
      </c>
      <c r="Z106" s="28" t="s">
        <v>191</v>
      </c>
      <c r="AA106" s="117">
        <v>0</v>
      </c>
      <c r="AB106" s="72">
        <v>0</v>
      </c>
      <c r="AC106" s="25">
        <v>0</v>
      </c>
      <c r="AD106" s="119">
        <v>0.2</v>
      </c>
      <c r="AE106" s="25">
        <v>0</v>
      </c>
      <c r="AF106" s="15">
        <v>0</v>
      </c>
      <c r="AG106" s="7">
        <f>G104</f>
        <v>4</v>
      </c>
      <c r="AH106" s="15">
        <v>0</v>
      </c>
      <c r="AI106" s="95" t="s">
        <v>191</v>
      </c>
      <c r="AJ106" s="99" t="s">
        <v>191</v>
      </c>
      <c r="AK106" s="16" t="s">
        <v>191</v>
      </c>
      <c r="AL106" s="8" t="s">
        <v>191</v>
      </c>
    </row>
    <row r="107" spans="1:38" s="4" customFormat="1" ht="14.25" customHeight="1" x14ac:dyDescent="0.25">
      <c r="A107" s="84"/>
      <c r="B107" s="79"/>
      <c r="C107" s="53"/>
      <c r="D107" s="56"/>
      <c r="E107" s="55"/>
      <c r="F107" s="55"/>
      <c r="G107" s="55"/>
      <c r="H107" s="53"/>
      <c r="I107" s="53"/>
      <c r="J107" s="53"/>
      <c r="K107" s="53"/>
      <c r="L107" s="53"/>
      <c r="M107" s="53"/>
      <c r="N107" s="55"/>
      <c r="O107" s="57"/>
      <c r="P107" s="53"/>
      <c r="Q107" s="63"/>
      <c r="R107" s="130"/>
      <c r="S107" s="130"/>
      <c r="T107" s="63"/>
      <c r="U107" s="63"/>
      <c r="V107" s="69"/>
      <c r="W107" s="69"/>
      <c r="X107" s="59"/>
      <c r="Y107" s="56"/>
      <c r="Z107" s="56"/>
      <c r="AA107" s="114"/>
      <c r="AB107" s="59"/>
      <c r="AC107" s="56"/>
      <c r="AD107" s="56"/>
      <c r="AE107" s="56"/>
      <c r="AF107" s="62"/>
      <c r="AG107" s="55"/>
      <c r="AH107" s="62"/>
      <c r="AI107" s="101"/>
      <c r="AJ107" s="100"/>
      <c r="AK107" s="63"/>
      <c r="AL107" s="56"/>
    </row>
    <row r="108" spans="1:38" s="4" customFormat="1" ht="97.5" customHeight="1" x14ac:dyDescent="0.25">
      <c r="A108" s="82" t="str">
        <f>CONCATENATE(B108,"-",C108,"-",E108,"-",F108)</f>
        <v>1.OG-1006-02-X</v>
      </c>
      <c r="B108" s="77" t="s">
        <v>271</v>
      </c>
      <c r="C108" s="45">
        <v>1006</v>
      </c>
      <c r="D108" s="47" t="s">
        <v>303</v>
      </c>
      <c r="E108" s="88" t="s">
        <v>206</v>
      </c>
      <c r="F108" s="46" t="s">
        <v>182</v>
      </c>
      <c r="G108" s="46">
        <v>11</v>
      </c>
      <c r="H108" s="47" t="s">
        <v>279</v>
      </c>
      <c r="I108" s="35" t="s">
        <v>184</v>
      </c>
      <c r="J108" s="35" t="s">
        <v>241</v>
      </c>
      <c r="K108" s="35" t="s">
        <v>219</v>
      </c>
      <c r="L108" s="46" t="s">
        <v>305</v>
      </c>
      <c r="M108" s="35" t="s">
        <v>281</v>
      </c>
      <c r="N108" s="46" t="s">
        <v>189</v>
      </c>
      <c r="O108" s="48" t="s">
        <v>123</v>
      </c>
      <c r="P108" s="70" t="s">
        <v>306</v>
      </c>
      <c r="Q108" s="52" t="s">
        <v>191</v>
      </c>
      <c r="R108" s="128"/>
      <c r="S108" s="128"/>
      <c r="T108" s="52" t="s">
        <v>191</v>
      </c>
      <c r="U108" s="50" t="s">
        <v>191</v>
      </c>
      <c r="V108" s="71" t="s">
        <v>191</v>
      </c>
      <c r="W108" s="66" t="s">
        <v>191</v>
      </c>
      <c r="X108" s="50" t="s">
        <v>191</v>
      </c>
      <c r="Y108" s="38" t="s">
        <v>191</v>
      </c>
      <c r="Z108" s="38" t="s">
        <v>191</v>
      </c>
      <c r="AA108" s="115" t="s">
        <v>191</v>
      </c>
      <c r="AB108" s="66"/>
      <c r="AC108" s="66" t="s">
        <v>191</v>
      </c>
      <c r="AD108" s="66" t="s">
        <v>191</v>
      </c>
      <c r="AE108" s="66" t="s">
        <v>191</v>
      </c>
      <c r="AF108" s="66" t="s">
        <v>191</v>
      </c>
      <c r="AG108" s="66" t="s">
        <v>191</v>
      </c>
      <c r="AH108" s="66" t="s">
        <v>191</v>
      </c>
      <c r="AI108" s="93" t="s">
        <v>191</v>
      </c>
      <c r="AJ108" s="97" t="s">
        <v>191</v>
      </c>
      <c r="AK108" s="52" t="s">
        <v>191</v>
      </c>
      <c r="AL108" s="38" t="s">
        <v>191</v>
      </c>
    </row>
    <row r="109" spans="1:38" s="4" customFormat="1" ht="97.5" customHeight="1" x14ac:dyDescent="0.25">
      <c r="A109" s="83" t="str">
        <f t="shared" ref="A109:A110" si="24">CONCATENATE(B109,"-",C109,"-",E109,"-",F109)</f>
        <v>1.OG-1006-02-1</v>
      </c>
      <c r="B109" s="78" t="str">
        <f>B108</f>
        <v>1.OG</v>
      </c>
      <c r="C109" s="34">
        <f>C108</f>
        <v>1006</v>
      </c>
      <c r="D109" s="8" t="str">
        <f>D108</f>
        <v>Boardroom</v>
      </c>
      <c r="E109" s="7" t="str">
        <f>E108</f>
        <v>02</v>
      </c>
      <c r="F109" s="7">
        <v>1</v>
      </c>
      <c r="G109" s="37" t="s">
        <v>191</v>
      </c>
      <c r="H109" s="36" t="s">
        <v>191</v>
      </c>
      <c r="I109" s="36" t="s">
        <v>191</v>
      </c>
      <c r="J109" s="36" t="s">
        <v>191</v>
      </c>
      <c r="K109" s="36" t="s">
        <v>191</v>
      </c>
      <c r="L109" s="36" t="s">
        <v>191</v>
      </c>
      <c r="M109" s="36" t="s">
        <v>191</v>
      </c>
      <c r="N109" s="37" t="s">
        <v>189</v>
      </c>
      <c r="O109" s="39" t="s">
        <v>191</v>
      </c>
      <c r="P109" s="36" t="s">
        <v>191</v>
      </c>
      <c r="Q109" s="16" t="s">
        <v>191</v>
      </c>
      <c r="R109" s="129" t="s">
        <v>193</v>
      </c>
      <c r="S109" s="129" t="s">
        <v>193</v>
      </c>
      <c r="T109" s="99" t="s">
        <v>191</v>
      </c>
      <c r="U109" s="109" t="s">
        <v>191</v>
      </c>
      <c r="V109" s="26" t="s">
        <v>191</v>
      </c>
      <c r="W109" s="111" t="s">
        <v>191</v>
      </c>
      <c r="X109" s="28" t="s">
        <v>191</v>
      </c>
      <c r="Y109" s="28" t="s">
        <v>191</v>
      </c>
      <c r="Z109" s="28" t="s">
        <v>191</v>
      </c>
      <c r="AA109" s="116">
        <v>0</v>
      </c>
      <c r="AB109" s="19">
        <v>0</v>
      </c>
      <c r="AC109" s="25">
        <v>0</v>
      </c>
      <c r="AD109" s="119">
        <v>0.2</v>
      </c>
      <c r="AE109" s="25">
        <v>0</v>
      </c>
      <c r="AF109" s="15">
        <v>0</v>
      </c>
      <c r="AG109" s="7">
        <f>G108</f>
        <v>11</v>
      </c>
      <c r="AH109" s="15">
        <v>0</v>
      </c>
      <c r="AI109" s="102" t="s">
        <v>191</v>
      </c>
      <c r="AJ109" s="99" t="s">
        <v>191</v>
      </c>
      <c r="AK109" s="99" t="s">
        <v>191</v>
      </c>
      <c r="AL109" s="8" t="s">
        <v>191</v>
      </c>
    </row>
    <row r="110" spans="1:38" s="4" customFormat="1" ht="97.5" customHeight="1" x14ac:dyDescent="0.25">
      <c r="A110" s="83" t="str">
        <f t="shared" si="24"/>
        <v>1.OG-1006-02-2</v>
      </c>
      <c r="B110" s="78" t="str">
        <f>B108</f>
        <v>1.OG</v>
      </c>
      <c r="C110" s="34">
        <f>C108</f>
        <v>1006</v>
      </c>
      <c r="D110" s="8" t="str">
        <f>D108</f>
        <v>Boardroom</v>
      </c>
      <c r="E110" s="7" t="str">
        <f>E108</f>
        <v>02</v>
      </c>
      <c r="F110" s="7">
        <v>2</v>
      </c>
      <c r="G110" s="37" t="s">
        <v>191</v>
      </c>
      <c r="H110" s="36"/>
      <c r="I110" s="36" t="s">
        <v>191</v>
      </c>
      <c r="J110" s="36" t="s">
        <v>191</v>
      </c>
      <c r="K110" s="36" t="s">
        <v>191</v>
      </c>
      <c r="L110" s="36" t="s">
        <v>191</v>
      </c>
      <c r="M110" s="36" t="s">
        <v>191</v>
      </c>
      <c r="N110" s="37"/>
      <c r="O110" s="39" t="s">
        <v>191</v>
      </c>
      <c r="P110" s="36" t="s">
        <v>191</v>
      </c>
      <c r="Q110" s="16" t="s">
        <v>191</v>
      </c>
      <c r="R110" s="129" t="s">
        <v>193</v>
      </c>
      <c r="S110" s="129" t="s">
        <v>193</v>
      </c>
      <c r="T110" s="16" t="s">
        <v>191</v>
      </c>
      <c r="U110" s="109" t="s">
        <v>191</v>
      </c>
      <c r="V110" s="26" t="s">
        <v>191</v>
      </c>
      <c r="W110" s="111" t="s">
        <v>191</v>
      </c>
      <c r="X110" s="28" t="s">
        <v>191</v>
      </c>
      <c r="Y110" s="28" t="s">
        <v>191</v>
      </c>
      <c r="Z110" s="28" t="s">
        <v>191</v>
      </c>
      <c r="AA110" s="117">
        <v>0</v>
      </c>
      <c r="AB110" s="72">
        <v>0</v>
      </c>
      <c r="AC110" s="25">
        <v>0</v>
      </c>
      <c r="AD110" s="119">
        <v>0.2</v>
      </c>
      <c r="AE110" s="25">
        <v>0</v>
      </c>
      <c r="AF110" s="15">
        <v>0</v>
      </c>
      <c r="AG110" s="7">
        <f>G108</f>
        <v>11</v>
      </c>
      <c r="AH110" s="15">
        <v>0</v>
      </c>
      <c r="AI110" s="95" t="s">
        <v>191</v>
      </c>
      <c r="AJ110" s="99" t="s">
        <v>191</v>
      </c>
      <c r="AK110" s="16" t="s">
        <v>191</v>
      </c>
      <c r="AL110" s="8" t="s">
        <v>191</v>
      </c>
    </row>
    <row r="111" spans="1:38" s="4" customFormat="1" ht="14.25" customHeight="1" x14ac:dyDescent="0.25">
      <c r="A111" s="84"/>
      <c r="B111" s="79"/>
      <c r="C111" s="53"/>
      <c r="D111" s="56"/>
      <c r="E111" s="55"/>
      <c r="F111" s="55"/>
      <c r="G111" s="55"/>
      <c r="H111" s="53"/>
      <c r="I111" s="53"/>
      <c r="J111" s="53"/>
      <c r="K111" s="53"/>
      <c r="L111" s="53"/>
      <c r="M111" s="53"/>
      <c r="N111" s="55"/>
      <c r="O111" s="57"/>
      <c r="P111" s="53"/>
      <c r="Q111" s="63"/>
      <c r="R111" s="130"/>
      <c r="S111" s="130"/>
      <c r="T111" s="63"/>
      <c r="U111" s="63"/>
      <c r="V111" s="69"/>
      <c r="W111" s="69"/>
      <c r="X111" s="59"/>
      <c r="Y111" s="56"/>
      <c r="Z111" s="56"/>
      <c r="AA111" s="114"/>
      <c r="AB111" s="59"/>
      <c r="AC111" s="56"/>
      <c r="AD111" s="56"/>
      <c r="AE111" s="56"/>
      <c r="AF111" s="62"/>
      <c r="AG111" s="55"/>
      <c r="AH111" s="62"/>
      <c r="AI111" s="101"/>
      <c r="AJ111" s="100"/>
      <c r="AK111" s="63"/>
      <c r="AL111" s="56"/>
    </row>
    <row r="112" spans="1:38" s="4" customFormat="1" ht="97.5" customHeight="1" x14ac:dyDescent="0.25">
      <c r="A112" s="82" t="str">
        <f>CONCATENATE(B112,"-",C112,"-",E112,"-",F112)</f>
        <v>1.OG-1006-03-X</v>
      </c>
      <c r="B112" s="77" t="s">
        <v>271</v>
      </c>
      <c r="C112" s="45">
        <v>1006</v>
      </c>
      <c r="D112" s="47" t="s">
        <v>303</v>
      </c>
      <c r="E112" s="88" t="s">
        <v>239</v>
      </c>
      <c r="F112" s="46" t="s">
        <v>182</v>
      </c>
      <c r="G112" s="46">
        <v>1</v>
      </c>
      <c r="H112" s="47" t="s">
        <v>294</v>
      </c>
      <c r="I112" s="35" t="s">
        <v>184</v>
      </c>
      <c r="J112" s="35" t="s">
        <v>241</v>
      </c>
      <c r="K112" s="35" t="s">
        <v>186</v>
      </c>
      <c r="L112" s="46" t="s">
        <v>307</v>
      </c>
      <c r="M112" s="35" t="s">
        <v>188</v>
      </c>
      <c r="N112" s="46" t="s">
        <v>189</v>
      </c>
      <c r="O112" s="48" t="s">
        <v>125</v>
      </c>
      <c r="P112" s="70" t="s">
        <v>296</v>
      </c>
      <c r="Q112" s="52" t="s">
        <v>191</v>
      </c>
      <c r="R112" s="128"/>
      <c r="S112" s="128"/>
      <c r="T112" s="52" t="s">
        <v>191</v>
      </c>
      <c r="U112" s="50" t="s">
        <v>191</v>
      </c>
      <c r="V112" s="71" t="s">
        <v>191</v>
      </c>
      <c r="W112" s="66" t="s">
        <v>191</v>
      </c>
      <c r="X112" s="50" t="s">
        <v>191</v>
      </c>
      <c r="Y112" s="38" t="s">
        <v>191</v>
      </c>
      <c r="Z112" s="38" t="s">
        <v>191</v>
      </c>
      <c r="AA112" s="115" t="s">
        <v>191</v>
      </c>
      <c r="AB112" s="66"/>
      <c r="AC112" s="66" t="s">
        <v>191</v>
      </c>
      <c r="AD112" s="66" t="s">
        <v>191</v>
      </c>
      <c r="AE112" s="66" t="s">
        <v>191</v>
      </c>
      <c r="AF112" s="66" t="s">
        <v>191</v>
      </c>
      <c r="AG112" s="66" t="s">
        <v>191</v>
      </c>
      <c r="AH112" s="66" t="s">
        <v>191</v>
      </c>
      <c r="AI112" s="93" t="s">
        <v>191</v>
      </c>
      <c r="AJ112" s="97" t="s">
        <v>191</v>
      </c>
      <c r="AK112" s="52" t="s">
        <v>191</v>
      </c>
      <c r="AL112" s="38" t="s">
        <v>191</v>
      </c>
    </row>
    <row r="113" spans="1:38" s="4" customFormat="1" ht="97.5" customHeight="1" x14ac:dyDescent="0.25">
      <c r="A113" s="83" t="str">
        <f t="shared" ref="A113:A114" si="25">CONCATENATE(B113,"-",C113,"-",E113,"-",F113)</f>
        <v>1.OG-1006-03-1</v>
      </c>
      <c r="B113" s="78" t="str">
        <f>B112</f>
        <v>1.OG</v>
      </c>
      <c r="C113" s="34">
        <f>C112</f>
        <v>1006</v>
      </c>
      <c r="D113" s="8" t="str">
        <f>D112</f>
        <v>Boardroom</v>
      </c>
      <c r="E113" s="7" t="str">
        <f>E112</f>
        <v>03</v>
      </c>
      <c r="F113" s="7">
        <v>1</v>
      </c>
      <c r="G113" s="37" t="s">
        <v>191</v>
      </c>
      <c r="H113" s="36" t="s">
        <v>191</v>
      </c>
      <c r="I113" s="36" t="s">
        <v>191</v>
      </c>
      <c r="J113" s="36" t="s">
        <v>191</v>
      </c>
      <c r="K113" s="36" t="s">
        <v>191</v>
      </c>
      <c r="L113" s="36" t="s">
        <v>191</v>
      </c>
      <c r="M113" s="36" t="s">
        <v>191</v>
      </c>
      <c r="N113" s="37" t="s">
        <v>189</v>
      </c>
      <c r="O113" s="39" t="s">
        <v>191</v>
      </c>
      <c r="P113" s="36" t="s">
        <v>191</v>
      </c>
      <c r="Q113" s="16" t="s">
        <v>191</v>
      </c>
      <c r="R113" s="129" t="s">
        <v>193</v>
      </c>
      <c r="S113" s="129" t="s">
        <v>193</v>
      </c>
      <c r="T113" s="99" t="s">
        <v>191</v>
      </c>
      <c r="U113" s="109" t="s">
        <v>191</v>
      </c>
      <c r="V113" s="26" t="s">
        <v>191</v>
      </c>
      <c r="W113" s="111" t="s">
        <v>191</v>
      </c>
      <c r="X113" s="28" t="s">
        <v>191</v>
      </c>
      <c r="Y113" s="28" t="s">
        <v>191</v>
      </c>
      <c r="Z113" s="28" t="s">
        <v>191</v>
      </c>
      <c r="AA113" s="116">
        <v>0</v>
      </c>
      <c r="AB113" s="19">
        <v>0</v>
      </c>
      <c r="AC113" s="25">
        <v>0</v>
      </c>
      <c r="AD113" s="119">
        <v>0.2</v>
      </c>
      <c r="AE113" s="25">
        <v>0</v>
      </c>
      <c r="AF113" s="15">
        <v>0</v>
      </c>
      <c r="AG113" s="7">
        <f>G112</f>
        <v>1</v>
      </c>
      <c r="AH113" s="15">
        <v>0</v>
      </c>
      <c r="AI113" s="102" t="s">
        <v>191</v>
      </c>
      <c r="AJ113" s="99" t="s">
        <v>191</v>
      </c>
      <c r="AK113" s="99" t="s">
        <v>191</v>
      </c>
      <c r="AL113" s="8" t="s">
        <v>191</v>
      </c>
    </row>
    <row r="114" spans="1:38" s="4" customFormat="1" ht="97.5" customHeight="1" x14ac:dyDescent="0.25">
      <c r="A114" s="83" t="str">
        <f t="shared" si="25"/>
        <v>1.OG-1006-03-2</v>
      </c>
      <c r="B114" s="78" t="str">
        <f>B112</f>
        <v>1.OG</v>
      </c>
      <c r="C114" s="34">
        <f>C112</f>
        <v>1006</v>
      </c>
      <c r="D114" s="8" t="str">
        <f>D112</f>
        <v>Boardroom</v>
      </c>
      <c r="E114" s="7" t="str">
        <f>E112</f>
        <v>03</v>
      </c>
      <c r="F114" s="7">
        <v>2</v>
      </c>
      <c r="G114" s="37" t="s">
        <v>191</v>
      </c>
      <c r="H114" s="36"/>
      <c r="I114" s="36" t="s">
        <v>191</v>
      </c>
      <c r="J114" s="36" t="s">
        <v>191</v>
      </c>
      <c r="K114" s="36" t="s">
        <v>191</v>
      </c>
      <c r="L114" s="36" t="s">
        <v>191</v>
      </c>
      <c r="M114" s="36" t="s">
        <v>191</v>
      </c>
      <c r="N114" s="37"/>
      <c r="O114" s="39" t="s">
        <v>191</v>
      </c>
      <c r="P114" s="36" t="s">
        <v>191</v>
      </c>
      <c r="Q114" s="16" t="s">
        <v>191</v>
      </c>
      <c r="R114" s="129" t="s">
        <v>193</v>
      </c>
      <c r="S114" s="129" t="s">
        <v>193</v>
      </c>
      <c r="T114" s="16" t="s">
        <v>191</v>
      </c>
      <c r="U114" s="109" t="s">
        <v>191</v>
      </c>
      <c r="V114" s="26" t="s">
        <v>191</v>
      </c>
      <c r="W114" s="111" t="s">
        <v>191</v>
      </c>
      <c r="X114" s="28" t="s">
        <v>191</v>
      </c>
      <c r="Y114" s="28" t="s">
        <v>191</v>
      </c>
      <c r="Z114" s="28" t="s">
        <v>191</v>
      </c>
      <c r="AA114" s="117">
        <v>0</v>
      </c>
      <c r="AB114" s="72">
        <v>0</v>
      </c>
      <c r="AC114" s="25">
        <v>0</v>
      </c>
      <c r="AD114" s="119">
        <v>0.2</v>
      </c>
      <c r="AE114" s="25">
        <v>0</v>
      </c>
      <c r="AF114" s="15">
        <v>0</v>
      </c>
      <c r="AG114" s="7">
        <f>G112</f>
        <v>1</v>
      </c>
      <c r="AH114" s="15">
        <v>0</v>
      </c>
      <c r="AI114" s="95" t="s">
        <v>191</v>
      </c>
      <c r="AJ114" s="99" t="s">
        <v>191</v>
      </c>
      <c r="AK114" s="16" t="s">
        <v>191</v>
      </c>
      <c r="AL114" s="8" t="s">
        <v>191</v>
      </c>
    </row>
    <row r="115" spans="1:38" s="4" customFormat="1" ht="14.25" customHeight="1" x14ac:dyDescent="0.25">
      <c r="A115" s="84"/>
      <c r="B115" s="79"/>
      <c r="C115" s="53"/>
      <c r="D115" s="56"/>
      <c r="E115" s="55"/>
      <c r="F115" s="55"/>
      <c r="G115" s="55"/>
      <c r="H115" s="53"/>
      <c r="I115" s="53"/>
      <c r="J115" s="53"/>
      <c r="K115" s="53"/>
      <c r="L115" s="53"/>
      <c r="M115" s="53"/>
      <c r="N115" s="55"/>
      <c r="O115" s="57"/>
      <c r="P115" s="53"/>
      <c r="Q115" s="63"/>
      <c r="R115" s="130"/>
      <c r="S115" s="130"/>
      <c r="T115" s="63"/>
      <c r="U115" s="63"/>
      <c r="V115" s="69"/>
      <c r="W115" s="69"/>
      <c r="X115" s="59"/>
      <c r="Y115" s="56"/>
      <c r="Z115" s="56"/>
      <c r="AA115" s="114"/>
      <c r="AB115" s="59"/>
      <c r="AC115" s="56"/>
      <c r="AD115" s="56"/>
      <c r="AE115" s="56"/>
      <c r="AF115" s="62"/>
      <c r="AG115" s="55"/>
      <c r="AH115" s="62"/>
      <c r="AI115" s="101"/>
      <c r="AJ115" s="100"/>
      <c r="AK115" s="63"/>
      <c r="AL115" s="56"/>
    </row>
    <row r="116" spans="1:38" s="4" customFormat="1" ht="97.5" customHeight="1" x14ac:dyDescent="0.25">
      <c r="A116" s="82" t="str">
        <f>CONCATENATE(B116,"-",C116,"-",E116,"-",F116)</f>
        <v>1.OG-1006-04-X</v>
      </c>
      <c r="B116" s="77" t="s">
        <v>271</v>
      </c>
      <c r="C116" s="45">
        <v>1006</v>
      </c>
      <c r="D116" s="47" t="s">
        <v>303</v>
      </c>
      <c r="E116" s="88" t="s">
        <v>283</v>
      </c>
      <c r="F116" s="46" t="s">
        <v>182</v>
      </c>
      <c r="G116" s="46">
        <v>8</v>
      </c>
      <c r="H116" s="47" t="s">
        <v>273</v>
      </c>
      <c r="I116" s="35" t="s">
        <v>184</v>
      </c>
      <c r="J116" s="35" t="s">
        <v>241</v>
      </c>
      <c r="K116" s="35" t="s">
        <v>219</v>
      </c>
      <c r="L116" s="46" t="s">
        <v>274</v>
      </c>
      <c r="M116" s="35" t="s">
        <v>188</v>
      </c>
      <c r="N116" s="46" t="s">
        <v>189</v>
      </c>
      <c r="O116" s="48" t="s">
        <v>130</v>
      </c>
      <c r="P116" s="70" t="s">
        <v>191</v>
      </c>
      <c r="Q116" s="52" t="s">
        <v>191</v>
      </c>
      <c r="R116" s="128"/>
      <c r="S116" s="128"/>
      <c r="T116" s="52" t="s">
        <v>191</v>
      </c>
      <c r="U116" s="50" t="s">
        <v>191</v>
      </c>
      <c r="V116" s="71" t="s">
        <v>191</v>
      </c>
      <c r="W116" s="66" t="s">
        <v>191</v>
      </c>
      <c r="X116" s="50" t="s">
        <v>191</v>
      </c>
      <c r="Y116" s="38" t="s">
        <v>191</v>
      </c>
      <c r="Z116" s="38" t="s">
        <v>191</v>
      </c>
      <c r="AA116" s="115" t="s">
        <v>191</v>
      </c>
      <c r="AB116" s="66"/>
      <c r="AC116" s="66" t="s">
        <v>191</v>
      </c>
      <c r="AD116" s="66" t="s">
        <v>191</v>
      </c>
      <c r="AE116" s="66" t="s">
        <v>191</v>
      </c>
      <c r="AF116" s="66" t="s">
        <v>191</v>
      </c>
      <c r="AG116" s="66" t="s">
        <v>191</v>
      </c>
      <c r="AH116" s="66" t="s">
        <v>191</v>
      </c>
      <c r="AI116" s="93" t="s">
        <v>191</v>
      </c>
      <c r="AJ116" s="97" t="s">
        <v>191</v>
      </c>
      <c r="AK116" s="52" t="s">
        <v>191</v>
      </c>
      <c r="AL116" s="38" t="s">
        <v>191</v>
      </c>
    </row>
    <row r="117" spans="1:38" s="4" customFormat="1" ht="97.5" customHeight="1" x14ac:dyDescent="0.25">
      <c r="A117" s="83" t="str">
        <f t="shared" ref="A117:A118" si="26">CONCATENATE(B117,"-",C117,"-",E117,"-",F117)</f>
        <v>1.OG-1006-04-1</v>
      </c>
      <c r="B117" s="78" t="str">
        <f>B116</f>
        <v>1.OG</v>
      </c>
      <c r="C117" s="34">
        <f>C116</f>
        <v>1006</v>
      </c>
      <c r="D117" s="8" t="str">
        <f>D116</f>
        <v>Boardroom</v>
      </c>
      <c r="E117" s="7" t="str">
        <f>E116</f>
        <v>04</v>
      </c>
      <c r="F117" s="7">
        <v>1</v>
      </c>
      <c r="G117" s="37" t="s">
        <v>191</v>
      </c>
      <c r="H117" s="36" t="s">
        <v>191</v>
      </c>
      <c r="I117" s="36" t="s">
        <v>191</v>
      </c>
      <c r="J117" s="36" t="s">
        <v>191</v>
      </c>
      <c r="K117" s="36" t="s">
        <v>191</v>
      </c>
      <c r="L117" s="36" t="s">
        <v>191</v>
      </c>
      <c r="M117" s="36" t="s">
        <v>191</v>
      </c>
      <c r="N117" s="37" t="s">
        <v>189</v>
      </c>
      <c r="O117" s="39" t="s">
        <v>191</v>
      </c>
      <c r="P117" s="36" t="s">
        <v>191</v>
      </c>
      <c r="Q117" s="16" t="s">
        <v>191</v>
      </c>
      <c r="R117" s="129" t="s">
        <v>193</v>
      </c>
      <c r="S117" s="129" t="s">
        <v>193</v>
      </c>
      <c r="T117" s="99" t="s">
        <v>191</v>
      </c>
      <c r="U117" s="109" t="s">
        <v>191</v>
      </c>
      <c r="V117" s="26" t="s">
        <v>191</v>
      </c>
      <c r="W117" s="111" t="s">
        <v>191</v>
      </c>
      <c r="X117" s="28" t="s">
        <v>191</v>
      </c>
      <c r="Y117" s="28" t="s">
        <v>191</v>
      </c>
      <c r="Z117" s="28" t="s">
        <v>191</v>
      </c>
      <c r="AA117" s="116">
        <v>0</v>
      </c>
      <c r="AB117" s="19">
        <v>0</v>
      </c>
      <c r="AC117" s="25">
        <v>0</v>
      </c>
      <c r="AD117" s="119">
        <v>0.2</v>
      </c>
      <c r="AE117" s="25">
        <v>0</v>
      </c>
      <c r="AF117" s="15">
        <v>0</v>
      </c>
      <c r="AG117" s="7">
        <f>G116</f>
        <v>8</v>
      </c>
      <c r="AH117" s="15">
        <v>0</v>
      </c>
      <c r="AI117" s="102" t="s">
        <v>191</v>
      </c>
      <c r="AJ117" s="99" t="s">
        <v>191</v>
      </c>
      <c r="AK117" s="99" t="s">
        <v>191</v>
      </c>
      <c r="AL117" s="8" t="s">
        <v>191</v>
      </c>
    </row>
    <row r="118" spans="1:38" s="4" customFormat="1" ht="97.5" customHeight="1" x14ac:dyDescent="0.25">
      <c r="A118" s="83" t="str">
        <f t="shared" si="26"/>
        <v>1.OG-1006-04-2</v>
      </c>
      <c r="B118" s="78" t="str">
        <f>B116</f>
        <v>1.OG</v>
      </c>
      <c r="C118" s="34">
        <f>C116</f>
        <v>1006</v>
      </c>
      <c r="D118" s="8" t="str">
        <f>D116</f>
        <v>Boardroom</v>
      </c>
      <c r="E118" s="7" t="str">
        <f>E116</f>
        <v>04</v>
      </c>
      <c r="F118" s="7">
        <v>2</v>
      </c>
      <c r="G118" s="37" t="s">
        <v>191</v>
      </c>
      <c r="H118" s="36"/>
      <c r="I118" s="36" t="s">
        <v>191</v>
      </c>
      <c r="J118" s="36" t="s">
        <v>191</v>
      </c>
      <c r="K118" s="36" t="s">
        <v>191</v>
      </c>
      <c r="L118" s="36" t="s">
        <v>191</v>
      </c>
      <c r="M118" s="36" t="s">
        <v>191</v>
      </c>
      <c r="N118" s="37"/>
      <c r="O118" s="39" t="s">
        <v>191</v>
      </c>
      <c r="P118" s="36" t="s">
        <v>191</v>
      </c>
      <c r="Q118" s="16" t="s">
        <v>191</v>
      </c>
      <c r="R118" s="129" t="s">
        <v>193</v>
      </c>
      <c r="S118" s="129" t="s">
        <v>193</v>
      </c>
      <c r="T118" s="16" t="s">
        <v>191</v>
      </c>
      <c r="U118" s="109" t="s">
        <v>191</v>
      </c>
      <c r="V118" s="26" t="s">
        <v>191</v>
      </c>
      <c r="W118" s="111" t="s">
        <v>191</v>
      </c>
      <c r="X118" s="28" t="s">
        <v>191</v>
      </c>
      <c r="Y118" s="28" t="s">
        <v>191</v>
      </c>
      <c r="Z118" s="28" t="s">
        <v>191</v>
      </c>
      <c r="AA118" s="117">
        <v>0</v>
      </c>
      <c r="AB118" s="72">
        <v>0</v>
      </c>
      <c r="AC118" s="25">
        <v>0</v>
      </c>
      <c r="AD118" s="119">
        <v>0.2</v>
      </c>
      <c r="AE118" s="25">
        <v>0</v>
      </c>
      <c r="AF118" s="15">
        <v>0</v>
      </c>
      <c r="AG118" s="7">
        <f>G116</f>
        <v>8</v>
      </c>
      <c r="AH118" s="15">
        <v>0</v>
      </c>
      <c r="AI118" s="95" t="s">
        <v>191</v>
      </c>
      <c r="AJ118" s="99" t="s">
        <v>191</v>
      </c>
      <c r="AK118" s="16" t="s">
        <v>191</v>
      </c>
      <c r="AL118" s="8" t="s">
        <v>191</v>
      </c>
    </row>
    <row r="119" spans="1:38" s="4" customFormat="1" ht="14.25" customHeight="1" x14ac:dyDescent="0.25">
      <c r="A119" s="84"/>
      <c r="B119" s="79"/>
      <c r="C119" s="53"/>
      <c r="D119" s="56"/>
      <c r="E119" s="55"/>
      <c r="F119" s="55"/>
      <c r="G119" s="55"/>
      <c r="H119" s="53"/>
      <c r="I119" s="53"/>
      <c r="J119" s="53"/>
      <c r="K119" s="53"/>
      <c r="L119" s="53"/>
      <c r="M119" s="53"/>
      <c r="N119" s="55"/>
      <c r="O119" s="57"/>
      <c r="P119" s="53"/>
      <c r="Q119" s="63"/>
      <c r="R119" s="130"/>
      <c r="S119" s="130"/>
      <c r="T119" s="63"/>
      <c r="U119" s="63"/>
      <c r="V119" s="69"/>
      <c r="W119" s="69"/>
      <c r="X119" s="59"/>
      <c r="Y119" s="56"/>
      <c r="Z119" s="56"/>
      <c r="AA119" s="114"/>
      <c r="AB119" s="59"/>
      <c r="AC119" s="56"/>
      <c r="AD119" s="56"/>
      <c r="AE119" s="56"/>
      <c r="AF119" s="62"/>
      <c r="AG119" s="55"/>
      <c r="AH119" s="62"/>
      <c r="AI119" s="101"/>
      <c r="AJ119" s="100"/>
      <c r="AK119" s="63"/>
      <c r="AL119" s="56"/>
    </row>
    <row r="120" spans="1:38" s="4" customFormat="1" ht="97.5" customHeight="1" x14ac:dyDescent="0.25">
      <c r="A120" s="82" t="str">
        <f>CONCATENATE(B120,"-",C120,"-",E120,"-",F120)</f>
        <v>1.OG-1006-05-X</v>
      </c>
      <c r="B120" s="77" t="s">
        <v>271</v>
      </c>
      <c r="C120" s="45">
        <v>1006</v>
      </c>
      <c r="D120" s="47" t="s">
        <v>303</v>
      </c>
      <c r="E120" s="88" t="s">
        <v>286</v>
      </c>
      <c r="F120" s="46" t="s">
        <v>182</v>
      </c>
      <c r="G120" s="46">
        <v>8</v>
      </c>
      <c r="H120" s="47" t="s">
        <v>301</v>
      </c>
      <c r="I120" s="35" t="s">
        <v>184</v>
      </c>
      <c r="J120" s="35" t="s">
        <v>241</v>
      </c>
      <c r="K120" s="35" t="s">
        <v>186</v>
      </c>
      <c r="L120" s="46" t="s">
        <v>302</v>
      </c>
      <c r="M120" s="35" t="s">
        <v>188</v>
      </c>
      <c r="N120" s="46" t="s">
        <v>189</v>
      </c>
      <c r="O120" s="48" t="s">
        <v>125</v>
      </c>
      <c r="P120" s="70" t="s">
        <v>308</v>
      </c>
      <c r="Q120" s="52" t="s">
        <v>191</v>
      </c>
      <c r="R120" s="128"/>
      <c r="S120" s="128"/>
      <c r="T120" s="52" t="s">
        <v>191</v>
      </c>
      <c r="U120" s="50" t="s">
        <v>191</v>
      </c>
      <c r="V120" s="71" t="s">
        <v>191</v>
      </c>
      <c r="W120" s="66" t="s">
        <v>191</v>
      </c>
      <c r="X120" s="50" t="s">
        <v>191</v>
      </c>
      <c r="Y120" s="38" t="s">
        <v>191</v>
      </c>
      <c r="Z120" s="38" t="s">
        <v>191</v>
      </c>
      <c r="AA120" s="115" t="s">
        <v>191</v>
      </c>
      <c r="AB120" s="66"/>
      <c r="AC120" s="66" t="s">
        <v>191</v>
      </c>
      <c r="AD120" s="66" t="s">
        <v>191</v>
      </c>
      <c r="AE120" s="66" t="s">
        <v>191</v>
      </c>
      <c r="AF120" s="66" t="s">
        <v>191</v>
      </c>
      <c r="AG120" s="66" t="s">
        <v>191</v>
      </c>
      <c r="AH120" s="66" t="s">
        <v>191</v>
      </c>
      <c r="AI120" s="93" t="s">
        <v>191</v>
      </c>
      <c r="AJ120" s="97" t="s">
        <v>191</v>
      </c>
      <c r="AK120" s="52" t="s">
        <v>191</v>
      </c>
      <c r="AL120" s="38" t="s">
        <v>191</v>
      </c>
    </row>
    <row r="121" spans="1:38" s="4" customFormat="1" ht="97.5" customHeight="1" x14ac:dyDescent="0.25">
      <c r="A121" s="83" t="str">
        <f t="shared" ref="A121:A122" si="27">CONCATENATE(B121,"-",C121,"-",E121,"-",F121)</f>
        <v>1.OG-1006-05-1</v>
      </c>
      <c r="B121" s="78" t="str">
        <f>B120</f>
        <v>1.OG</v>
      </c>
      <c r="C121" s="34">
        <f>C120</f>
        <v>1006</v>
      </c>
      <c r="D121" s="8" t="str">
        <f>D120</f>
        <v>Boardroom</v>
      </c>
      <c r="E121" s="7" t="str">
        <f>E120</f>
        <v>05</v>
      </c>
      <c r="F121" s="7">
        <v>1</v>
      </c>
      <c r="G121" s="37" t="s">
        <v>191</v>
      </c>
      <c r="H121" s="36" t="s">
        <v>191</v>
      </c>
      <c r="I121" s="36" t="s">
        <v>191</v>
      </c>
      <c r="J121" s="36" t="s">
        <v>191</v>
      </c>
      <c r="K121" s="36" t="s">
        <v>191</v>
      </c>
      <c r="L121" s="36" t="s">
        <v>191</v>
      </c>
      <c r="M121" s="36" t="s">
        <v>191</v>
      </c>
      <c r="N121" s="37" t="s">
        <v>189</v>
      </c>
      <c r="O121" s="39" t="s">
        <v>191</v>
      </c>
      <c r="P121" s="36" t="s">
        <v>191</v>
      </c>
      <c r="Q121" s="16" t="s">
        <v>191</v>
      </c>
      <c r="R121" s="129" t="s">
        <v>193</v>
      </c>
      <c r="S121" s="129" t="s">
        <v>193</v>
      </c>
      <c r="T121" s="99" t="s">
        <v>191</v>
      </c>
      <c r="U121" s="109" t="s">
        <v>191</v>
      </c>
      <c r="V121" s="26" t="s">
        <v>191</v>
      </c>
      <c r="W121" s="111" t="s">
        <v>191</v>
      </c>
      <c r="X121" s="28" t="s">
        <v>191</v>
      </c>
      <c r="Y121" s="28" t="s">
        <v>191</v>
      </c>
      <c r="Z121" s="28" t="s">
        <v>191</v>
      </c>
      <c r="AA121" s="116">
        <v>0</v>
      </c>
      <c r="AB121" s="19">
        <v>0</v>
      </c>
      <c r="AC121" s="25">
        <v>0</v>
      </c>
      <c r="AD121" s="119">
        <v>0.2</v>
      </c>
      <c r="AE121" s="25">
        <v>0</v>
      </c>
      <c r="AF121" s="15">
        <v>0</v>
      </c>
      <c r="AG121" s="7">
        <f>G120</f>
        <v>8</v>
      </c>
      <c r="AH121" s="15">
        <v>0</v>
      </c>
      <c r="AI121" s="102" t="s">
        <v>191</v>
      </c>
      <c r="AJ121" s="99" t="s">
        <v>191</v>
      </c>
      <c r="AK121" s="99" t="s">
        <v>191</v>
      </c>
      <c r="AL121" s="8" t="s">
        <v>191</v>
      </c>
    </row>
    <row r="122" spans="1:38" s="4" customFormat="1" ht="97.5" customHeight="1" x14ac:dyDescent="0.25">
      <c r="A122" s="83" t="str">
        <f t="shared" si="27"/>
        <v>1.OG-1006-05-2</v>
      </c>
      <c r="B122" s="78" t="str">
        <f>B120</f>
        <v>1.OG</v>
      </c>
      <c r="C122" s="34">
        <f>C120</f>
        <v>1006</v>
      </c>
      <c r="D122" s="8" t="str">
        <f>D120</f>
        <v>Boardroom</v>
      </c>
      <c r="E122" s="7" t="str">
        <f>E120</f>
        <v>05</v>
      </c>
      <c r="F122" s="7">
        <v>2</v>
      </c>
      <c r="G122" s="37" t="s">
        <v>191</v>
      </c>
      <c r="H122" s="36"/>
      <c r="I122" s="36" t="s">
        <v>191</v>
      </c>
      <c r="J122" s="36" t="s">
        <v>191</v>
      </c>
      <c r="K122" s="36" t="s">
        <v>191</v>
      </c>
      <c r="L122" s="36" t="s">
        <v>191</v>
      </c>
      <c r="M122" s="36" t="s">
        <v>191</v>
      </c>
      <c r="N122" s="37"/>
      <c r="O122" s="39" t="s">
        <v>191</v>
      </c>
      <c r="P122" s="36" t="s">
        <v>191</v>
      </c>
      <c r="Q122" s="16" t="s">
        <v>191</v>
      </c>
      <c r="R122" s="129" t="s">
        <v>193</v>
      </c>
      <c r="S122" s="129" t="s">
        <v>193</v>
      </c>
      <c r="T122" s="16" t="s">
        <v>191</v>
      </c>
      <c r="U122" s="109" t="s">
        <v>191</v>
      </c>
      <c r="V122" s="26" t="s">
        <v>191</v>
      </c>
      <c r="W122" s="111" t="s">
        <v>191</v>
      </c>
      <c r="X122" s="28" t="s">
        <v>191</v>
      </c>
      <c r="Y122" s="28" t="s">
        <v>191</v>
      </c>
      <c r="Z122" s="28" t="s">
        <v>191</v>
      </c>
      <c r="AA122" s="117">
        <v>0</v>
      </c>
      <c r="AB122" s="72">
        <v>0</v>
      </c>
      <c r="AC122" s="25">
        <v>0</v>
      </c>
      <c r="AD122" s="119">
        <v>0.2</v>
      </c>
      <c r="AE122" s="25">
        <v>0</v>
      </c>
      <c r="AF122" s="15">
        <v>0</v>
      </c>
      <c r="AG122" s="7">
        <f>G120</f>
        <v>8</v>
      </c>
      <c r="AH122" s="15">
        <v>0</v>
      </c>
      <c r="AI122" s="95" t="s">
        <v>191</v>
      </c>
      <c r="AJ122" s="99" t="s">
        <v>191</v>
      </c>
      <c r="AK122" s="16" t="s">
        <v>191</v>
      </c>
      <c r="AL122" s="8" t="s">
        <v>191</v>
      </c>
    </row>
    <row r="123" spans="1:38" s="4" customFormat="1" ht="14.25" customHeight="1" x14ac:dyDescent="0.25">
      <c r="A123" s="84"/>
      <c r="B123" s="79"/>
      <c r="C123" s="53"/>
      <c r="D123" s="56"/>
      <c r="E123" s="55"/>
      <c r="F123" s="55"/>
      <c r="G123" s="55"/>
      <c r="H123" s="53"/>
      <c r="I123" s="53"/>
      <c r="J123" s="53"/>
      <c r="K123" s="53"/>
      <c r="L123" s="53"/>
      <c r="M123" s="53"/>
      <c r="N123" s="55"/>
      <c r="O123" s="57"/>
      <c r="P123" s="53"/>
      <c r="Q123" s="63"/>
      <c r="R123" s="130"/>
      <c r="S123" s="130"/>
      <c r="T123" s="63"/>
      <c r="U123" s="63"/>
      <c r="V123" s="69"/>
      <c r="W123" s="69"/>
      <c r="X123" s="59"/>
      <c r="Y123" s="56"/>
      <c r="Z123" s="56"/>
      <c r="AA123" s="114"/>
      <c r="AB123" s="59"/>
      <c r="AC123" s="56"/>
      <c r="AD123" s="56"/>
      <c r="AE123" s="56"/>
      <c r="AF123" s="62"/>
      <c r="AG123" s="55"/>
      <c r="AH123" s="62"/>
      <c r="AI123" s="101"/>
      <c r="AJ123" s="100"/>
      <c r="AK123" s="63"/>
      <c r="AL123" s="56"/>
    </row>
    <row r="124" spans="1:38" s="4" customFormat="1" ht="97.5" customHeight="1" x14ac:dyDescent="0.25">
      <c r="A124" s="82" t="str">
        <f>CONCATENATE(B124,"-",C124,"-",E124,"-",F124)</f>
        <v>1.OG-1006-06-X</v>
      </c>
      <c r="B124" s="77" t="s">
        <v>271</v>
      </c>
      <c r="C124" s="45">
        <v>1006</v>
      </c>
      <c r="D124" s="47" t="s">
        <v>303</v>
      </c>
      <c r="E124" s="88" t="s">
        <v>288</v>
      </c>
      <c r="F124" s="46" t="s">
        <v>182</v>
      </c>
      <c r="G124" s="46">
        <v>16</v>
      </c>
      <c r="H124" s="47" t="s">
        <v>279</v>
      </c>
      <c r="I124" s="35" t="s">
        <v>184</v>
      </c>
      <c r="J124" s="35" t="s">
        <v>241</v>
      </c>
      <c r="K124" s="35" t="s">
        <v>219</v>
      </c>
      <c r="L124" s="46" t="s">
        <v>280</v>
      </c>
      <c r="M124" s="35" t="s">
        <v>281</v>
      </c>
      <c r="N124" s="46" t="s">
        <v>189</v>
      </c>
      <c r="O124" s="48" t="s">
        <v>123</v>
      </c>
      <c r="P124" s="70" t="s">
        <v>306</v>
      </c>
      <c r="Q124" s="52" t="s">
        <v>191</v>
      </c>
      <c r="R124" s="128"/>
      <c r="S124" s="128"/>
      <c r="T124" s="52" t="s">
        <v>191</v>
      </c>
      <c r="U124" s="50" t="s">
        <v>191</v>
      </c>
      <c r="V124" s="71" t="s">
        <v>191</v>
      </c>
      <c r="W124" s="66" t="s">
        <v>191</v>
      </c>
      <c r="X124" s="50" t="s">
        <v>191</v>
      </c>
      <c r="Y124" s="38" t="s">
        <v>191</v>
      </c>
      <c r="Z124" s="38" t="s">
        <v>191</v>
      </c>
      <c r="AA124" s="115" t="s">
        <v>191</v>
      </c>
      <c r="AB124" s="66"/>
      <c r="AC124" s="66" t="s">
        <v>191</v>
      </c>
      <c r="AD124" s="66" t="s">
        <v>191</v>
      </c>
      <c r="AE124" s="66" t="s">
        <v>191</v>
      </c>
      <c r="AF124" s="66" t="s">
        <v>191</v>
      </c>
      <c r="AG124" s="66" t="s">
        <v>191</v>
      </c>
      <c r="AH124" s="66" t="s">
        <v>191</v>
      </c>
      <c r="AI124" s="93" t="s">
        <v>191</v>
      </c>
      <c r="AJ124" s="97" t="s">
        <v>191</v>
      </c>
      <c r="AK124" s="52" t="s">
        <v>191</v>
      </c>
      <c r="AL124" s="38" t="s">
        <v>191</v>
      </c>
    </row>
    <row r="125" spans="1:38" s="4" customFormat="1" ht="97.5" customHeight="1" x14ac:dyDescent="0.25">
      <c r="A125" s="83" t="str">
        <f t="shared" ref="A125:A126" si="28">CONCATENATE(B125,"-",C125,"-",E125,"-",F125)</f>
        <v>1.OG-1006-06-1</v>
      </c>
      <c r="B125" s="78" t="str">
        <f>B124</f>
        <v>1.OG</v>
      </c>
      <c r="C125" s="34">
        <f>C124</f>
        <v>1006</v>
      </c>
      <c r="D125" s="8" t="str">
        <f>D124</f>
        <v>Boardroom</v>
      </c>
      <c r="E125" s="7" t="str">
        <f>E124</f>
        <v>06</v>
      </c>
      <c r="F125" s="7">
        <v>1</v>
      </c>
      <c r="G125" s="37" t="s">
        <v>191</v>
      </c>
      <c r="H125" s="36" t="s">
        <v>191</v>
      </c>
      <c r="I125" s="36" t="s">
        <v>191</v>
      </c>
      <c r="J125" s="36" t="s">
        <v>191</v>
      </c>
      <c r="K125" s="36" t="s">
        <v>191</v>
      </c>
      <c r="L125" s="36" t="s">
        <v>191</v>
      </c>
      <c r="M125" s="36" t="s">
        <v>191</v>
      </c>
      <c r="N125" s="37" t="s">
        <v>189</v>
      </c>
      <c r="O125" s="39" t="s">
        <v>191</v>
      </c>
      <c r="P125" s="36" t="s">
        <v>191</v>
      </c>
      <c r="Q125" s="16" t="s">
        <v>191</v>
      </c>
      <c r="R125" s="129" t="s">
        <v>193</v>
      </c>
      <c r="S125" s="129" t="s">
        <v>193</v>
      </c>
      <c r="T125" s="99" t="s">
        <v>191</v>
      </c>
      <c r="U125" s="109" t="s">
        <v>191</v>
      </c>
      <c r="V125" s="26" t="s">
        <v>191</v>
      </c>
      <c r="W125" s="111" t="s">
        <v>191</v>
      </c>
      <c r="X125" s="28" t="s">
        <v>191</v>
      </c>
      <c r="Y125" s="28" t="s">
        <v>191</v>
      </c>
      <c r="Z125" s="28" t="s">
        <v>191</v>
      </c>
      <c r="AA125" s="116">
        <v>0</v>
      </c>
      <c r="AB125" s="19">
        <v>0</v>
      </c>
      <c r="AC125" s="25">
        <v>0</v>
      </c>
      <c r="AD125" s="119">
        <v>0.2</v>
      </c>
      <c r="AE125" s="25">
        <v>0</v>
      </c>
      <c r="AF125" s="15">
        <v>0</v>
      </c>
      <c r="AG125" s="7">
        <f>G124</f>
        <v>16</v>
      </c>
      <c r="AH125" s="15">
        <v>0</v>
      </c>
      <c r="AI125" s="102" t="s">
        <v>191</v>
      </c>
      <c r="AJ125" s="99" t="s">
        <v>191</v>
      </c>
      <c r="AK125" s="99" t="s">
        <v>191</v>
      </c>
      <c r="AL125" s="8" t="s">
        <v>191</v>
      </c>
    </row>
    <row r="126" spans="1:38" s="4" customFormat="1" ht="97.5" customHeight="1" x14ac:dyDescent="0.25">
      <c r="A126" s="83" t="str">
        <f t="shared" si="28"/>
        <v>1.OG-1006-06-2</v>
      </c>
      <c r="B126" s="78" t="str">
        <f>B124</f>
        <v>1.OG</v>
      </c>
      <c r="C126" s="34">
        <f>C124</f>
        <v>1006</v>
      </c>
      <c r="D126" s="8" t="str">
        <f>D124</f>
        <v>Boardroom</v>
      </c>
      <c r="E126" s="7" t="str">
        <f>E124</f>
        <v>06</v>
      </c>
      <c r="F126" s="7">
        <v>2</v>
      </c>
      <c r="G126" s="37" t="s">
        <v>191</v>
      </c>
      <c r="H126" s="36"/>
      <c r="I126" s="36" t="s">
        <v>191</v>
      </c>
      <c r="J126" s="36" t="s">
        <v>191</v>
      </c>
      <c r="K126" s="36" t="s">
        <v>191</v>
      </c>
      <c r="L126" s="36" t="s">
        <v>191</v>
      </c>
      <c r="M126" s="36" t="s">
        <v>191</v>
      </c>
      <c r="N126" s="37"/>
      <c r="O126" s="39" t="s">
        <v>191</v>
      </c>
      <c r="P126" s="36" t="s">
        <v>191</v>
      </c>
      <c r="Q126" s="16" t="s">
        <v>191</v>
      </c>
      <c r="R126" s="129" t="s">
        <v>193</v>
      </c>
      <c r="S126" s="129" t="s">
        <v>193</v>
      </c>
      <c r="T126" s="16" t="s">
        <v>191</v>
      </c>
      <c r="U126" s="109" t="s">
        <v>191</v>
      </c>
      <c r="V126" s="26" t="s">
        <v>191</v>
      </c>
      <c r="W126" s="111" t="s">
        <v>191</v>
      </c>
      <c r="X126" s="28" t="s">
        <v>191</v>
      </c>
      <c r="Y126" s="28" t="s">
        <v>191</v>
      </c>
      <c r="Z126" s="28" t="s">
        <v>191</v>
      </c>
      <c r="AA126" s="117">
        <v>0</v>
      </c>
      <c r="AB126" s="72">
        <v>0</v>
      </c>
      <c r="AC126" s="25">
        <v>0</v>
      </c>
      <c r="AD126" s="119">
        <v>0.2</v>
      </c>
      <c r="AE126" s="25">
        <v>0</v>
      </c>
      <c r="AF126" s="15">
        <v>0</v>
      </c>
      <c r="AG126" s="7">
        <f>G124</f>
        <v>16</v>
      </c>
      <c r="AH126" s="15">
        <v>0</v>
      </c>
      <c r="AI126" s="95" t="s">
        <v>191</v>
      </c>
      <c r="AJ126" s="99" t="s">
        <v>191</v>
      </c>
      <c r="AK126" s="16" t="s">
        <v>191</v>
      </c>
      <c r="AL126" s="8" t="s">
        <v>191</v>
      </c>
    </row>
    <row r="127" spans="1:38" s="4" customFormat="1" ht="14.25" customHeight="1" x14ac:dyDescent="0.25">
      <c r="A127" s="84"/>
      <c r="B127" s="79"/>
      <c r="C127" s="53"/>
      <c r="D127" s="56"/>
      <c r="E127" s="55"/>
      <c r="F127" s="55"/>
      <c r="G127" s="55"/>
      <c r="H127" s="53"/>
      <c r="I127" s="53"/>
      <c r="J127" s="53"/>
      <c r="K127" s="53"/>
      <c r="L127" s="53"/>
      <c r="M127" s="53"/>
      <c r="N127" s="55"/>
      <c r="O127" s="57"/>
      <c r="P127" s="53"/>
      <c r="Q127" s="63"/>
      <c r="R127" s="130"/>
      <c r="S127" s="130"/>
      <c r="T127" s="63"/>
      <c r="U127" s="63"/>
      <c r="V127" s="69"/>
      <c r="W127" s="69"/>
      <c r="X127" s="59"/>
      <c r="Y127" s="56"/>
      <c r="Z127" s="56"/>
      <c r="AA127" s="114"/>
      <c r="AB127" s="59"/>
      <c r="AC127" s="56"/>
      <c r="AD127" s="56"/>
      <c r="AE127" s="56"/>
      <c r="AF127" s="62"/>
      <c r="AG127" s="55"/>
      <c r="AH127" s="62"/>
      <c r="AI127" s="101"/>
      <c r="AJ127" s="100"/>
      <c r="AK127" s="63"/>
      <c r="AL127" s="56"/>
    </row>
    <row r="128" spans="1:38" s="4" customFormat="1" ht="97.5" customHeight="1" x14ac:dyDescent="0.25">
      <c r="A128" s="82" t="str">
        <f>CONCATENATE(B128,"-",C128,"-",E128,"-",F128)</f>
        <v>1.OG-1006-07-X</v>
      </c>
      <c r="B128" s="77" t="s">
        <v>271</v>
      </c>
      <c r="C128" s="45">
        <v>1006</v>
      </c>
      <c r="D128" s="47" t="s">
        <v>303</v>
      </c>
      <c r="E128" s="88" t="s">
        <v>293</v>
      </c>
      <c r="F128" s="46" t="s">
        <v>182</v>
      </c>
      <c r="G128" s="46">
        <v>3</v>
      </c>
      <c r="H128" s="47" t="s">
        <v>273</v>
      </c>
      <c r="I128" s="35" t="s">
        <v>184</v>
      </c>
      <c r="J128" s="35" t="s">
        <v>241</v>
      </c>
      <c r="K128" s="35" t="s">
        <v>219</v>
      </c>
      <c r="L128" s="46" t="s">
        <v>274</v>
      </c>
      <c r="M128" s="35" t="s">
        <v>221</v>
      </c>
      <c r="N128" s="46" t="s">
        <v>189</v>
      </c>
      <c r="O128" s="48" t="s">
        <v>130</v>
      </c>
      <c r="P128" s="70" t="s">
        <v>191</v>
      </c>
      <c r="Q128" s="52" t="s">
        <v>191</v>
      </c>
      <c r="R128" s="128"/>
      <c r="S128" s="128"/>
      <c r="T128" s="52" t="s">
        <v>191</v>
      </c>
      <c r="U128" s="50" t="s">
        <v>191</v>
      </c>
      <c r="V128" s="71" t="s">
        <v>191</v>
      </c>
      <c r="W128" s="66" t="s">
        <v>191</v>
      </c>
      <c r="X128" s="50" t="s">
        <v>191</v>
      </c>
      <c r="Y128" s="38" t="s">
        <v>191</v>
      </c>
      <c r="Z128" s="38" t="s">
        <v>191</v>
      </c>
      <c r="AA128" s="115" t="s">
        <v>191</v>
      </c>
      <c r="AB128" s="66"/>
      <c r="AC128" s="66" t="s">
        <v>191</v>
      </c>
      <c r="AD128" s="66" t="s">
        <v>191</v>
      </c>
      <c r="AE128" s="66" t="s">
        <v>191</v>
      </c>
      <c r="AF128" s="66" t="s">
        <v>191</v>
      </c>
      <c r="AG128" s="66" t="s">
        <v>191</v>
      </c>
      <c r="AH128" s="66" t="s">
        <v>191</v>
      </c>
      <c r="AI128" s="93" t="s">
        <v>191</v>
      </c>
      <c r="AJ128" s="97" t="s">
        <v>191</v>
      </c>
      <c r="AK128" s="52" t="s">
        <v>191</v>
      </c>
      <c r="AL128" s="38" t="s">
        <v>191</v>
      </c>
    </row>
    <row r="129" spans="1:38" s="4" customFormat="1" ht="97.5" customHeight="1" x14ac:dyDescent="0.25">
      <c r="A129" s="83" t="str">
        <f t="shared" ref="A129:A130" si="29">CONCATENATE(B129,"-",C129,"-",E129,"-",F129)</f>
        <v>1.OG-1006-07-1</v>
      </c>
      <c r="B129" s="78" t="str">
        <f>B128</f>
        <v>1.OG</v>
      </c>
      <c r="C129" s="34">
        <f>C128</f>
        <v>1006</v>
      </c>
      <c r="D129" s="8" t="str">
        <f>D128</f>
        <v>Boardroom</v>
      </c>
      <c r="E129" s="7" t="str">
        <f>E128</f>
        <v>07</v>
      </c>
      <c r="F129" s="7">
        <v>1</v>
      </c>
      <c r="G129" s="37" t="s">
        <v>191</v>
      </c>
      <c r="H129" s="36" t="s">
        <v>191</v>
      </c>
      <c r="I129" s="36" t="s">
        <v>191</v>
      </c>
      <c r="J129" s="36" t="s">
        <v>191</v>
      </c>
      <c r="K129" s="36" t="s">
        <v>191</v>
      </c>
      <c r="L129" s="36" t="s">
        <v>191</v>
      </c>
      <c r="M129" s="36" t="s">
        <v>191</v>
      </c>
      <c r="N129" s="37" t="s">
        <v>189</v>
      </c>
      <c r="O129" s="39" t="s">
        <v>191</v>
      </c>
      <c r="P129" s="36" t="s">
        <v>191</v>
      </c>
      <c r="Q129" s="16" t="s">
        <v>191</v>
      </c>
      <c r="R129" s="129" t="s">
        <v>193</v>
      </c>
      <c r="S129" s="129" t="s">
        <v>193</v>
      </c>
      <c r="T129" s="99" t="s">
        <v>191</v>
      </c>
      <c r="U129" s="109" t="s">
        <v>191</v>
      </c>
      <c r="V129" s="26" t="s">
        <v>191</v>
      </c>
      <c r="W129" s="111" t="s">
        <v>191</v>
      </c>
      <c r="X129" s="28" t="s">
        <v>191</v>
      </c>
      <c r="Y129" s="28" t="s">
        <v>191</v>
      </c>
      <c r="Z129" s="28" t="s">
        <v>191</v>
      </c>
      <c r="AA129" s="116">
        <v>0</v>
      </c>
      <c r="AB129" s="19">
        <v>0</v>
      </c>
      <c r="AC129" s="25">
        <v>0</v>
      </c>
      <c r="AD129" s="119">
        <v>0.2</v>
      </c>
      <c r="AE129" s="25">
        <v>0</v>
      </c>
      <c r="AF129" s="15">
        <v>0</v>
      </c>
      <c r="AG129" s="7">
        <f>G128</f>
        <v>3</v>
      </c>
      <c r="AH129" s="15">
        <v>0</v>
      </c>
      <c r="AI129" s="102" t="s">
        <v>191</v>
      </c>
      <c r="AJ129" s="99" t="s">
        <v>191</v>
      </c>
      <c r="AK129" s="99" t="s">
        <v>191</v>
      </c>
      <c r="AL129" s="8" t="s">
        <v>191</v>
      </c>
    </row>
    <row r="130" spans="1:38" s="4" customFormat="1" ht="97.5" customHeight="1" x14ac:dyDescent="0.25">
      <c r="A130" s="83" t="str">
        <f t="shared" si="29"/>
        <v>1.OG-1006-07-2</v>
      </c>
      <c r="B130" s="78" t="str">
        <f>B128</f>
        <v>1.OG</v>
      </c>
      <c r="C130" s="34">
        <f>C128</f>
        <v>1006</v>
      </c>
      <c r="D130" s="8" t="str">
        <f>D128</f>
        <v>Boardroom</v>
      </c>
      <c r="E130" s="7" t="str">
        <f>E128</f>
        <v>07</v>
      </c>
      <c r="F130" s="7">
        <v>2</v>
      </c>
      <c r="G130" s="37" t="s">
        <v>191</v>
      </c>
      <c r="H130" s="36"/>
      <c r="I130" s="36" t="s">
        <v>191</v>
      </c>
      <c r="J130" s="36" t="s">
        <v>191</v>
      </c>
      <c r="K130" s="36" t="s">
        <v>191</v>
      </c>
      <c r="L130" s="36" t="s">
        <v>191</v>
      </c>
      <c r="M130" s="36" t="s">
        <v>191</v>
      </c>
      <c r="N130" s="37"/>
      <c r="O130" s="39" t="s">
        <v>191</v>
      </c>
      <c r="P130" s="36" t="s">
        <v>191</v>
      </c>
      <c r="Q130" s="16" t="s">
        <v>191</v>
      </c>
      <c r="R130" s="129" t="s">
        <v>193</v>
      </c>
      <c r="S130" s="129" t="s">
        <v>193</v>
      </c>
      <c r="T130" s="16" t="s">
        <v>191</v>
      </c>
      <c r="U130" s="109" t="s">
        <v>191</v>
      </c>
      <c r="V130" s="26" t="s">
        <v>191</v>
      </c>
      <c r="W130" s="111" t="s">
        <v>191</v>
      </c>
      <c r="X130" s="28" t="s">
        <v>191</v>
      </c>
      <c r="Y130" s="28" t="s">
        <v>191</v>
      </c>
      <c r="Z130" s="28" t="s">
        <v>191</v>
      </c>
      <c r="AA130" s="117">
        <v>0</v>
      </c>
      <c r="AB130" s="72">
        <v>0</v>
      </c>
      <c r="AC130" s="25">
        <v>0</v>
      </c>
      <c r="AD130" s="119">
        <v>0.2</v>
      </c>
      <c r="AE130" s="25">
        <v>0</v>
      </c>
      <c r="AF130" s="15">
        <v>0</v>
      </c>
      <c r="AG130" s="7">
        <f>G128</f>
        <v>3</v>
      </c>
      <c r="AH130" s="15">
        <v>0</v>
      </c>
      <c r="AI130" s="95" t="s">
        <v>191</v>
      </c>
      <c r="AJ130" s="99" t="s">
        <v>191</v>
      </c>
      <c r="AK130" s="16" t="s">
        <v>191</v>
      </c>
      <c r="AL130" s="8" t="s">
        <v>191</v>
      </c>
    </row>
    <row r="131" spans="1:38" s="4" customFormat="1" ht="14.25" customHeight="1" x14ac:dyDescent="0.25">
      <c r="A131" s="84"/>
      <c r="B131" s="79"/>
      <c r="C131" s="53"/>
      <c r="D131" s="56"/>
      <c r="E131" s="55"/>
      <c r="F131" s="55"/>
      <c r="G131" s="55"/>
      <c r="H131" s="53"/>
      <c r="I131" s="53"/>
      <c r="J131" s="53"/>
      <c r="K131" s="53"/>
      <c r="L131" s="53"/>
      <c r="M131" s="53"/>
      <c r="N131" s="55"/>
      <c r="O131" s="57"/>
      <c r="P131" s="53"/>
      <c r="Q131" s="63"/>
      <c r="R131" s="130"/>
      <c r="S131" s="130"/>
      <c r="T131" s="63"/>
      <c r="U131" s="63"/>
      <c r="V131" s="69"/>
      <c r="W131" s="69"/>
      <c r="X131" s="59"/>
      <c r="Y131" s="56"/>
      <c r="Z131" s="56"/>
      <c r="AA131" s="114"/>
      <c r="AB131" s="59"/>
      <c r="AC131" s="56"/>
      <c r="AD131" s="56"/>
      <c r="AE131" s="56"/>
      <c r="AF131" s="62"/>
      <c r="AG131" s="55"/>
      <c r="AH131" s="62"/>
      <c r="AI131" s="101"/>
      <c r="AJ131" s="100"/>
      <c r="AK131" s="63"/>
      <c r="AL131" s="56"/>
    </row>
    <row r="132" spans="1:38" s="4" customFormat="1" ht="97.5" customHeight="1" x14ac:dyDescent="0.25">
      <c r="A132" s="82" t="str">
        <f>CONCATENATE(B132,"-",C132,"-",E132,"-",F132)</f>
        <v>1.OG-1006-08-X</v>
      </c>
      <c r="B132" s="77" t="s">
        <v>271</v>
      </c>
      <c r="C132" s="45">
        <v>1006</v>
      </c>
      <c r="D132" s="47" t="s">
        <v>309</v>
      </c>
      <c r="E132" s="88" t="s">
        <v>297</v>
      </c>
      <c r="F132" s="46" t="s">
        <v>182</v>
      </c>
      <c r="G132" s="46">
        <v>1</v>
      </c>
      <c r="H132" s="47" t="s">
        <v>273</v>
      </c>
      <c r="I132" s="35" t="s">
        <v>310</v>
      </c>
      <c r="J132" s="35" t="s">
        <v>311</v>
      </c>
      <c r="K132" s="35" t="s">
        <v>312</v>
      </c>
      <c r="L132" s="46" t="s">
        <v>313</v>
      </c>
      <c r="M132" s="35" t="s">
        <v>314</v>
      </c>
      <c r="N132" s="46" t="s">
        <v>189</v>
      </c>
      <c r="O132" s="48" t="s">
        <v>135</v>
      </c>
      <c r="P132" s="70" t="s">
        <v>191</v>
      </c>
      <c r="Q132" s="52" t="s">
        <v>191</v>
      </c>
      <c r="R132" s="128"/>
      <c r="S132" s="128"/>
      <c r="T132" s="52" t="s">
        <v>191</v>
      </c>
      <c r="U132" s="50" t="s">
        <v>191</v>
      </c>
      <c r="V132" s="71" t="s">
        <v>191</v>
      </c>
      <c r="W132" s="66" t="s">
        <v>191</v>
      </c>
      <c r="X132" s="50" t="s">
        <v>191</v>
      </c>
      <c r="Y132" s="38" t="s">
        <v>191</v>
      </c>
      <c r="Z132" s="38" t="s">
        <v>191</v>
      </c>
      <c r="AA132" s="115" t="s">
        <v>191</v>
      </c>
      <c r="AB132" s="66"/>
      <c r="AC132" s="66" t="s">
        <v>191</v>
      </c>
      <c r="AD132" s="66" t="s">
        <v>191</v>
      </c>
      <c r="AE132" s="66" t="s">
        <v>191</v>
      </c>
      <c r="AF132" s="66" t="s">
        <v>191</v>
      </c>
      <c r="AG132" s="66" t="s">
        <v>191</v>
      </c>
      <c r="AH132" s="66" t="s">
        <v>191</v>
      </c>
      <c r="AI132" s="93" t="s">
        <v>191</v>
      </c>
      <c r="AJ132" s="97" t="s">
        <v>191</v>
      </c>
      <c r="AK132" s="52" t="s">
        <v>191</v>
      </c>
      <c r="AL132" s="38" t="s">
        <v>191</v>
      </c>
    </row>
    <row r="133" spans="1:38" s="4" customFormat="1" ht="97.5" customHeight="1" x14ac:dyDescent="0.25">
      <c r="A133" s="83" t="str">
        <f t="shared" ref="A133:A134" si="30">CONCATENATE(B133,"-",C133,"-",E133,"-",F133)</f>
        <v>1.OG-1006-08-1</v>
      </c>
      <c r="B133" s="78" t="str">
        <f>B132</f>
        <v>1.OG</v>
      </c>
      <c r="C133" s="34">
        <f>C132</f>
        <v>1006</v>
      </c>
      <c r="D133" s="8" t="str">
        <f>D132</f>
        <v>Boardroom Stehleuchte</v>
      </c>
      <c r="E133" s="7" t="str">
        <f>E132</f>
        <v>08</v>
      </c>
      <c r="F133" s="7">
        <v>1</v>
      </c>
      <c r="G133" s="37" t="s">
        <v>191</v>
      </c>
      <c r="H133" s="36" t="s">
        <v>191</v>
      </c>
      <c r="I133" s="36" t="s">
        <v>191</v>
      </c>
      <c r="J133" s="36" t="s">
        <v>191</v>
      </c>
      <c r="K133" s="36" t="s">
        <v>191</v>
      </c>
      <c r="L133" s="36" t="s">
        <v>191</v>
      </c>
      <c r="M133" s="36" t="s">
        <v>191</v>
      </c>
      <c r="N133" s="37" t="s">
        <v>189</v>
      </c>
      <c r="O133" s="39" t="s">
        <v>191</v>
      </c>
      <c r="P133" s="36" t="s">
        <v>191</v>
      </c>
      <c r="Q133" s="16" t="s">
        <v>191</v>
      </c>
      <c r="R133" s="129" t="s">
        <v>193</v>
      </c>
      <c r="S133" s="129" t="s">
        <v>193</v>
      </c>
      <c r="T133" s="99" t="s">
        <v>191</v>
      </c>
      <c r="U133" s="109" t="s">
        <v>191</v>
      </c>
      <c r="V133" s="26" t="s">
        <v>191</v>
      </c>
      <c r="W133" s="111" t="s">
        <v>191</v>
      </c>
      <c r="X133" s="28" t="s">
        <v>191</v>
      </c>
      <c r="Y133" s="28" t="s">
        <v>191</v>
      </c>
      <c r="Z133" s="28" t="s">
        <v>191</v>
      </c>
      <c r="AA133" s="116">
        <v>0</v>
      </c>
      <c r="AB133" s="19">
        <v>0</v>
      </c>
      <c r="AC133" s="25">
        <v>0</v>
      </c>
      <c r="AD133" s="119">
        <v>0.2</v>
      </c>
      <c r="AE133" s="25">
        <v>0</v>
      </c>
      <c r="AF133" s="15">
        <v>0</v>
      </c>
      <c r="AG133" s="7">
        <f>G132</f>
        <v>1</v>
      </c>
      <c r="AH133" s="15">
        <v>0</v>
      </c>
      <c r="AI133" s="102" t="s">
        <v>191</v>
      </c>
      <c r="AJ133" s="99" t="s">
        <v>191</v>
      </c>
      <c r="AK133" s="99" t="s">
        <v>191</v>
      </c>
      <c r="AL133" s="8" t="s">
        <v>191</v>
      </c>
    </row>
    <row r="134" spans="1:38" s="4" customFormat="1" ht="97.5" customHeight="1" x14ac:dyDescent="0.25">
      <c r="A134" s="83" t="str">
        <f t="shared" si="30"/>
        <v>1.OG-1006-08-2</v>
      </c>
      <c r="B134" s="78" t="str">
        <f>B132</f>
        <v>1.OG</v>
      </c>
      <c r="C134" s="34">
        <f>C132</f>
        <v>1006</v>
      </c>
      <c r="D134" s="8" t="str">
        <f>D132</f>
        <v>Boardroom Stehleuchte</v>
      </c>
      <c r="E134" s="7" t="str">
        <f>E132</f>
        <v>08</v>
      </c>
      <c r="F134" s="7">
        <v>2</v>
      </c>
      <c r="G134" s="37" t="s">
        <v>191</v>
      </c>
      <c r="H134" s="36"/>
      <c r="I134" s="36" t="s">
        <v>191</v>
      </c>
      <c r="J134" s="36" t="s">
        <v>191</v>
      </c>
      <c r="K134" s="36" t="s">
        <v>191</v>
      </c>
      <c r="L134" s="36" t="s">
        <v>191</v>
      </c>
      <c r="M134" s="36" t="s">
        <v>191</v>
      </c>
      <c r="N134" s="37"/>
      <c r="O134" s="39" t="s">
        <v>191</v>
      </c>
      <c r="P134" s="36" t="s">
        <v>191</v>
      </c>
      <c r="Q134" s="16" t="s">
        <v>191</v>
      </c>
      <c r="R134" s="129" t="s">
        <v>193</v>
      </c>
      <c r="S134" s="129" t="s">
        <v>193</v>
      </c>
      <c r="T134" s="16" t="s">
        <v>191</v>
      </c>
      <c r="U134" s="109" t="s">
        <v>191</v>
      </c>
      <c r="V134" s="26" t="s">
        <v>191</v>
      </c>
      <c r="W134" s="111" t="s">
        <v>191</v>
      </c>
      <c r="X134" s="28" t="s">
        <v>191</v>
      </c>
      <c r="Y134" s="28" t="s">
        <v>191</v>
      </c>
      <c r="Z134" s="28" t="s">
        <v>191</v>
      </c>
      <c r="AA134" s="117">
        <v>0</v>
      </c>
      <c r="AB134" s="72">
        <v>0</v>
      </c>
      <c r="AC134" s="25">
        <v>0</v>
      </c>
      <c r="AD134" s="119">
        <v>0.2</v>
      </c>
      <c r="AE134" s="25">
        <v>0</v>
      </c>
      <c r="AF134" s="15">
        <v>0</v>
      </c>
      <c r="AG134" s="7">
        <f>G132</f>
        <v>1</v>
      </c>
      <c r="AH134" s="15">
        <v>0</v>
      </c>
      <c r="AI134" s="95" t="s">
        <v>191</v>
      </c>
      <c r="AJ134" s="99" t="s">
        <v>191</v>
      </c>
      <c r="AK134" s="16" t="s">
        <v>191</v>
      </c>
      <c r="AL134" s="8" t="s">
        <v>191</v>
      </c>
    </row>
    <row r="135" spans="1:38" s="4" customFormat="1" ht="14.25" customHeight="1" x14ac:dyDescent="0.25">
      <c r="A135" s="84"/>
      <c r="B135" s="79"/>
      <c r="C135" s="53"/>
      <c r="D135" s="56"/>
      <c r="E135" s="55"/>
      <c r="F135" s="55"/>
      <c r="G135" s="55"/>
      <c r="H135" s="53"/>
      <c r="I135" s="53"/>
      <c r="J135" s="53"/>
      <c r="K135" s="53"/>
      <c r="L135" s="53"/>
      <c r="M135" s="53"/>
      <c r="N135" s="55"/>
      <c r="O135" s="57"/>
      <c r="P135" s="53"/>
      <c r="Q135" s="63"/>
      <c r="R135" s="130"/>
      <c r="S135" s="130"/>
      <c r="T135" s="63"/>
      <c r="U135" s="63"/>
      <c r="V135" s="69"/>
      <c r="W135" s="69"/>
      <c r="X135" s="59"/>
      <c r="Y135" s="56"/>
      <c r="Z135" s="56"/>
      <c r="AA135" s="114"/>
      <c r="AB135" s="59"/>
      <c r="AC135" s="56"/>
      <c r="AD135" s="56"/>
      <c r="AE135" s="56"/>
      <c r="AF135" s="62"/>
      <c r="AG135" s="55"/>
      <c r="AH135" s="62"/>
      <c r="AI135" s="101"/>
      <c r="AJ135" s="100"/>
      <c r="AK135" s="63"/>
      <c r="AL135" s="56"/>
    </row>
    <row r="136" spans="1:38" s="4" customFormat="1" ht="97.5" customHeight="1" x14ac:dyDescent="0.25">
      <c r="A136" s="82" t="str">
        <f>CONCATENATE(B136,"-",C136,"-",E136,"-",F136)</f>
        <v>1.OG-1006-09-X</v>
      </c>
      <c r="B136" s="77" t="s">
        <v>271</v>
      </c>
      <c r="C136" s="45">
        <v>1006</v>
      </c>
      <c r="D136" s="47" t="s">
        <v>303</v>
      </c>
      <c r="E136" s="88" t="s">
        <v>300</v>
      </c>
      <c r="F136" s="46" t="s">
        <v>182</v>
      </c>
      <c r="G136" s="46">
        <v>5</v>
      </c>
      <c r="H136" s="47" t="s">
        <v>279</v>
      </c>
      <c r="I136" s="35" t="s">
        <v>184</v>
      </c>
      <c r="J136" s="35" t="s">
        <v>241</v>
      </c>
      <c r="K136" s="35" t="s">
        <v>219</v>
      </c>
      <c r="L136" s="46" t="s">
        <v>280</v>
      </c>
      <c r="M136" s="35" t="s">
        <v>281</v>
      </c>
      <c r="N136" s="46" t="s">
        <v>189</v>
      </c>
      <c r="O136" s="48" t="s">
        <v>123</v>
      </c>
      <c r="P136" s="70" t="s">
        <v>306</v>
      </c>
      <c r="Q136" s="52" t="s">
        <v>191</v>
      </c>
      <c r="R136" s="128"/>
      <c r="S136" s="128"/>
      <c r="T136" s="52" t="s">
        <v>191</v>
      </c>
      <c r="U136" s="50" t="s">
        <v>191</v>
      </c>
      <c r="V136" s="71" t="s">
        <v>191</v>
      </c>
      <c r="W136" s="66" t="s">
        <v>191</v>
      </c>
      <c r="X136" s="50" t="s">
        <v>191</v>
      </c>
      <c r="Y136" s="38" t="s">
        <v>191</v>
      </c>
      <c r="Z136" s="38" t="s">
        <v>191</v>
      </c>
      <c r="AA136" s="115" t="s">
        <v>191</v>
      </c>
      <c r="AB136" s="66"/>
      <c r="AC136" s="66" t="s">
        <v>191</v>
      </c>
      <c r="AD136" s="66" t="s">
        <v>191</v>
      </c>
      <c r="AE136" s="66" t="s">
        <v>191</v>
      </c>
      <c r="AF136" s="66" t="s">
        <v>191</v>
      </c>
      <c r="AG136" s="66" t="s">
        <v>191</v>
      </c>
      <c r="AH136" s="66" t="s">
        <v>191</v>
      </c>
      <c r="AI136" s="93" t="s">
        <v>191</v>
      </c>
      <c r="AJ136" s="97" t="s">
        <v>191</v>
      </c>
      <c r="AK136" s="52" t="s">
        <v>191</v>
      </c>
      <c r="AL136" s="38" t="s">
        <v>191</v>
      </c>
    </row>
    <row r="137" spans="1:38" s="4" customFormat="1" ht="97.5" customHeight="1" x14ac:dyDescent="0.25">
      <c r="A137" s="83" t="str">
        <f t="shared" ref="A137:A138" si="31">CONCATENATE(B137,"-",C137,"-",E137,"-",F137)</f>
        <v>1.OG-1006-09-1</v>
      </c>
      <c r="B137" s="78" t="str">
        <f>B136</f>
        <v>1.OG</v>
      </c>
      <c r="C137" s="34">
        <f>C136</f>
        <v>1006</v>
      </c>
      <c r="D137" s="8" t="str">
        <f>D136</f>
        <v>Boardroom</v>
      </c>
      <c r="E137" s="7" t="str">
        <f>E136</f>
        <v>09</v>
      </c>
      <c r="F137" s="7">
        <v>1</v>
      </c>
      <c r="G137" s="37" t="s">
        <v>191</v>
      </c>
      <c r="H137" s="36" t="s">
        <v>191</v>
      </c>
      <c r="I137" s="36" t="s">
        <v>191</v>
      </c>
      <c r="J137" s="36" t="s">
        <v>191</v>
      </c>
      <c r="K137" s="36" t="s">
        <v>191</v>
      </c>
      <c r="L137" s="36" t="s">
        <v>191</v>
      </c>
      <c r="M137" s="36" t="s">
        <v>191</v>
      </c>
      <c r="N137" s="37" t="s">
        <v>189</v>
      </c>
      <c r="O137" s="39" t="s">
        <v>191</v>
      </c>
      <c r="P137" s="36" t="s">
        <v>191</v>
      </c>
      <c r="Q137" s="16" t="s">
        <v>191</v>
      </c>
      <c r="R137" s="129" t="s">
        <v>193</v>
      </c>
      <c r="S137" s="129" t="s">
        <v>193</v>
      </c>
      <c r="T137" s="99" t="s">
        <v>191</v>
      </c>
      <c r="U137" s="109" t="s">
        <v>191</v>
      </c>
      <c r="V137" s="26" t="s">
        <v>191</v>
      </c>
      <c r="W137" s="111" t="s">
        <v>191</v>
      </c>
      <c r="X137" s="28" t="s">
        <v>191</v>
      </c>
      <c r="Y137" s="28" t="s">
        <v>191</v>
      </c>
      <c r="Z137" s="28" t="s">
        <v>191</v>
      </c>
      <c r="AA137" s="116">
        <v>0</v>
      </c>
      <c r="AB137" s="19">
        <v>0</v>
      </c>
      <c r="AC137" s="25">
        <v>0</v>
      </c>
      <c r="AD137" s="119">
        <v>0.2</v>
      </c>
      <c r="AE137" s="25">
        <v>0</v>
      </c>
      <c r="AF137" s="15">
        <v>0</v>
      </c>
      <c r="AG137" s="7">
        <f>G136</f>
        <v>5</v>
      </c>
      <c r="AH137" s="15">
        <v>0</v>
      </c>
      <c r="AI137" s="102" t="s">
        <v>191</v>
      </c>
      <c r="AJ137" s="99" t="s">
        <v>191</v>
      </c>
      <c r="AK137" s="99" t="s">
        <v>191</v>
      </c>
      <c r="AL137" s="8" t="s">
        <v>191</v>
      </c>
    </row>
    <row r="138" spans="1:38" s="4" customFormat="1" ht="97.5" customHeight="1" x14ac:dyDescent="0.25">
      <c r="A138" s="83" t="str">
        <f t="shared" si="31"/>
        <v>1.OG-1006-09-2</v>
      </c>
      <c r="B138" s="78" t="str">
        <f>B136</f>
        <v>1.OG</v>
      </c>
      <c r="C138" s="34">
        <f>C136</f>
        <v>1006</v>
      </c>
      <c r="D138" s="8" t="str">
        <f>D136</f>
        <v>Boardroom</v>
      </c>
      <c r="E138" s="7" t="str">
        <f>E136</f>
        <v>09</v>
      </c>
      <c r="F138" s="7">
        <v>2</v>
      </c>
      <c r="G138" s="37" t="s">
        <v>191</v>
      </c>
      <c r="H138" s="36"/>
      <c r="I138" s="36" t="s">
        <v>191</v>
      </c>
      <c r="J138" s="36" t="s">
        <v>191</v>
      </c>
      <c r="K138" s="36" t="s">
        <v>191</v>
      </c>
      <c r="L138" s="36" t="s">
        <v>191</v>
      </c>
      <c r="M138" s="36" t="s">
        <v>191</v>
      </c>
      <c r="N138" s="37"/>
      <c r="O138" s="39" t="s">
        <v>191</v>
      </c>
      <c r="P138" s="36" t="s">
        <v>191</v>
      </c>
      <c r="Q138" s="16" t="s">
        <v>191</v>
      </c>
      <c r="R138" s="129" t="s">
        <v>193</v>
      </c>
      <c r="S138" s="129" t="s">
        <v>193</v>
      </c>
      <c r="T138" s="16" t="s">
        <v>191</v>
      </c>
      <c r="U138" s="109" t="s">
        <v>191</v>
      </c>
      <c r="V138" s="26" t="s">
        <v>191</v>
      </c>
      <c r="W138" s="111" t="s">
        <v>191</v>
      </c>
      <c r="X138" s="28" t="s">
        <v>191</v>
      </c>
      <c r="Y138" s="28" t="s">
        <v>191</v>
      </c>
      <c r="Z138" s="28" t="s">
        <v>191</v>
      </c>
      <c r="AA138" s="117">
        <v>0</v>
      </c>
      <c r="AB138" s="72">
        <v>0</v>
      </c>
      <c r="AC138" s="25">
        <v>0</v>
      </c>
      <c r="AD138" s="119">
        <v>0.2</v>
      </c>
      <c r="AE138" s="25">
        <v>0</v>
      </c>
      <c r="AF138" s="15">
        <v>0</v>
      </c>
      <c r="AG138" s="7">
        <f>G136</f>
        <v>5</v>
      </c>
      <c r="AH138" s="15">
        <v>0</v>
      </c>
      <c r="AI138" s="95" t="s">
        <v>191</v>
      </c>
      <c r="AJ138" s="99" t="s">
        <v>191</v>
      </c>
      <c r="AK138" s="16" t="s">
        <v>191</v>
      </c>
      <c r="AL138" s="8" t="s">
        <v>191</v>
      </c>
    </row>
    <row r="139" spans="1:38" s="4" customFormat="1" ht="14.25" customHeight="1" x14ac:dyDescent="0.25">
      <c r="A139" s="84"/>
      <c r="B139" s="79"/>
      <c r="C139" s="53"/>
      <c r="D139" s="56"/>
      <c r="E139" s="55"/>
      <c r="F139" s="55"/>
      <c r="G139" s="55"/>
      <c r="H139" s="53"/>
      <c r="I139" s="53"/>
      <c r="J139" s="53"/>
      <c r="K139" s="53"/>
      <c r="L139" s="53"/>
      <c r="M139" s="53"/>
      <c r="N139" s="55"/>
      <c r="O139" s="57"/>
      <c r="P139" s="53"/>
      <c r="Q139" s="63"/>
      <c r="R139" s="130"/>
      <c r="S139" s="130"/>
      <c r="T139" s="63"/>
      <c r="U139" s="63"/>
      <c r="V139" s="69"/>
      <c r="W139" s="69"/>
      <c r="X139" s="59"/>
      <c r="Y139" s="56"/>
      <c r="Z139" s="56"/>
      <c r="AA139" s="114"/>
      <c r="AB139" s="59"/>
      <c r="AC139" s="56"/>
      <c r="AD139" s="56"/>
      <c r="AE139" s="56"/>
      <c r="AF139" s="62"/>
      <c r="AG139" s="55"/>
      <c r="AH139" s="62"/>
      <c r="AI139" s="101"/>
      <c r="AJ139" s="100"/>
      <c r="AK139" s="63"/>
      <c r="AL139" s="56"/>
    </row>
    <row r="140" spans="1:38" s="4" customFormat="1" ht="97.5" customHeight="1" x14ac:dyDescent="0.25">
      <c r="A140" s="82" t="str">
        <f>CONCATENATE(B140,"-",C140,"-",E140,"-",F140)</f>
        <v>1.OG-1006-10-X</v>
      </c>
      <c r="B140" s="77" t="s">
        <v>271</v>
      </c>
      <c r="C140" s="45">
        <v>1006</v>
      </c>
      <c r="D140" s="47" t="s">
        <v>303</v>
      </c>
      <c r="E140" s="88" t="s">
        <v>315</v>
      </c>
      <c r="F140" s="46" t="s">
        <v>182</v>
      </c>
      <c r="G140" s="46">
        <v>3</v>
      </c>
      <c r="H140" s="47" t="s">
        <v>301</v>
      </c>
      <c r="I140" s="35" t="s">
        <v>184</v>
      </c>
      <c r="J140" s="35" t="s">
        <v>241</v>
      </c>
      <c r="K140" s="35" t="s">
        <v>186</v>
      </c>
      <c r="L140" s="46" t="s">
        <v>302</v>
      </c>
      <c r="M140" s="35" t="s">
        <v>188</v>
      </c>
      <c r="N140" s="46" t="s">
        <v>189</v>
      </c>
      <c r="O140" s="48" t="s">
        <v>125</v>
      </c>
      <c r="P140" s="70" t="s">
        <v>296</v>
      </c>
      <c r="Q140" s="52" t="s">
        <v>191</v>
      </c>
      <c r="R140" s="128"/>
      <c r="S140" s="128"/>
      <c r="T140" s="52" t="s">
        <v>191</v>
      </c>
      <c r="U140" s="50" t="s">
        <v>191</v>
      </c>
      <c r="V140" s="71" t="s">
        <v>191</v>
      </c>
      <c r="W140" s="66" t="s">
        <v>191</v>
      </c>
      <c r="X140" s="50" t="s">
        <v>191</v>
      </c>
      <c r="Y140" s="38" t="s">
        <v>191</v>
      </c>
      <c r="Z140" s="38" t="s">
        <v>191</v>
      </c>
      <c r="AA140" s="115" t="s">
        <v>191</v>
      </c>
      <c r="AB140" s="66"/>
      <c r="AC140" s="66" t="s">
        <v>191</v>
      </c>
      <c r="AD140" s="66" t="s">
        <v>191</v>
      </c>
      <c r="AE140" s="66" t="s">
        <v>191</v>
      </c>
      <c r="AF140" s="66" t="s">
        <v>191</v>
      </c>
      <c r="AG140" s="66" t="s">
        <v>191</v>
      </c>
      <c r="AH140" s="66" t="s">
        <v>191</v>
      </c>
      <c r="AI140" s="93" t="s">
        <v>191</v>
      </c>
      <c r="AJ140" s="97" t="s">
        <v>191</v>
      </c>
      <c r="AK140" s="52" t="s">
        <v>191</v>
      </c>
      <c r="AL140" s="38" t="s">
        <v>191</v>
      </c>
    </row>
    <row r="141" spans="1:38" s="4" customFormat="1" ht="97.5" customHeight="1" x14ac:dyDescent="0.25">
      <c r="A141" s="83" t="str">
        <f t="shared" ref="A141:A142" si="32">CONCATENATE(B141,"-",C141,"-",E141,"-",F141)</f>
        <v>1.OG-1006-10-1</v>
      </c>
      <c r="B141" s="78" t="str">
        <f>B140</f>
        <v>1.OG</v>
      </c>
      <c r="C141" s="34">
        <f>C140</f>
        <v>1006</v>
      </c>
      <c r="D141" s="8" t="str">
        <f>D140</f>
        <v>Boardroom</v>
      </c>
      <c r="E141" s="7" t="str">
        <f>E140</f>
        <v>10</v>
      </c>
      <c r="F141" s="7">
        <v>1</v>
      </c>
      <c r="G141" s="37" t="s">
        <v>191</v>
      </c>
      <c r="H141" s="36" t="s">
        <v>191</v>
      </c>
      <c r="I141" s="36" t="s">
        <v>191</v>
      </c>
      <c r="J141" s="36" t="s">
        <v>191</v>
      </c>
      <c r="K141" s="36" t="s">
        <v>191</v>
      </c>
      <c r="L141" s="36" t="s">
        <v>191</v>
      </c>
      <c r="M141" s="36" t="s">
        <v>191</v>
      </c>
      <c r="N141" s="37" t="s">
        <v>189</v>
      </c>
      <c r="O141" s="39" t="s">
        <v>191</v>
      </c>
      <c r="P141" s="36" t="s">
        <v>191</v>
      </c>
      <c r="Q141" s="16" t="s">
        <v>191</v>
      </c>
      <c r="R141" s="129" t="s">
        <v>193</v>
      </c>
      <c r="S141" s="129" t="s">
        <v>193</v>
      </c>
      <c r="T141" s="99" t="s">
        <v>191</v>
      </c>
      <c r="U141" s="109" t="s">
        <v>191</v>
      </c>
      <c r="V141" s="26" t="s">
        <v>191</v>
      </c>
      <c r="W141" s="111" t="s">
        <v>191</v>
      </c>
      <c r="X141" s="28" t="s">
        <v>191</v>
      </c>
      <c r="Y141" s="28" t="s">
        <v>191</v>
      </c>
      <c r="Z141" s="28" t="s">
        <v>191</v>
      </c>
      <c r="AA141" s="116">
        <v>0</v>
      </c>
      <c r="AB141" s="19">
        <v>0</v>
      </c>
      <c r="AC141" s="25">
        <v>0</v>
      </c>
      <c r="AD141" s="119">
        <v>0.2</v>
      </c>
      <c r="AE141" s="25">
        <v>0</v>
      </c>
      <c r="AF141" s="15">
        <v>0</v>
      </c>
      <c r="AG141" s="7">
        <f>G140</f>
        <v>3</v>
      </c>
      <c r="AH141" s="15">
        <v>0</v>
      </c>
      <c r="AI141" s="102" t="s">
        <v>191</v>
      </c>
      <c r="AJ141" s="99" t="s">
        <v>191</v>
      </c>
      <c r="AK141" s="99" t="s">
        <v>191</v>
      </c>
      <c r="AL141" s="8" t="s">
        <v>191</v>
      </c>
    </row>
    <row r="142" spans="1:38" s="4" customFormat="1" ht="97.5" customHeight="1" x14ac:dyDescent="0.25">
      <c r="A142" s="83" t="str">
        <f t="shared" si="32"/>
        <v>1.OG-1006-10-2</v>
      </c>
      <c r="B142" s="78" t="str">
        <f>B140</f>
        <v>1.OG</v>
      </c>
      <c r="C142" s="34">
        <f>C140</f>
        <v>1006</v>
      </c>
      <c r="D142" s="8" t="str">
        <f>D140</f>
        <v>Boardroom</v>
      </c>
      <c r="E142" s="7" t="str">
        <f>E140</f>
        <v>10</v>
      </c>
      <c r="F142" s="7">
        <v>2</v>
      </c>
      <c r="G142" s="37" t="s">
        <v>191</v>
      </c>
      <c r="H142" s="36"/>
      <c r="I142" s="36" t="s">
        <v>191</v>
      </c>
      <c r="J142" s="36" t="s">
        <v>191</v>
      </c>
      <c r="K142" s="36" t="s">
        <v>191</v>
      </c>
      <c r="L142" s="36" t="s">
        <v>191</v>
      </c>
      <c r="M142" s="36" t="s">
        <v>191</v>
      </c>
      <c r="N142" s="37"/>
      <c r="O142" s="39" t="s">
        <v>191</v>
      </c>
      <c r="P142" s="36" t="s">
        <v>191</v>
      </c>
      <c r="Q142" s="16" t="s">
        <v>191</v>
      </c>
      <c r="R142" s="129" t="s">
        <v>193</v>
      </c>
      <c r="S142" s="129" t="s">
        <v>193</v>
      </c>
      <c r="T142" s="16" t="s">
        <v>191</v>
      </c>
      <c r="U142" s="109" t="s">
        <v>191</v>
      </c>
      <c r="V142" s="26" t="s">
        <v>191</v>
      </c>
      <c r="W142" s="111" t="s">
        <v>191</v>
      </c>
      <c r="X142" s="28" t="s">
        <v>191</v>
      </c>
      <c r="Y142" s="28" t="s">
        <v>191</v>
      </c>
      <c r="Z142" s="28" t="s">
        <v>191</v>
      </c>
      <c r="AA142" s="117">
        <v>0</v>
      </c>
      <c r="AB142" s="72">
        <v>0</v>
      </c>
      <c r="AC142" s="25">
        <v>0</v>
      </c>
      <c r="AD142" s="119">
        <v>0.2</v>
      </c>
      <c r="AE142" s="25">
        <v>0</v>
      </c>
      <c r="AF142" s="15">
        <v>0</v>
      </c>
      <c r="AG142" s="7">
        <f>G140</f>
        <v>3</v>
      </c>
      <c r="AH142" s="15">
        <v>0</v>
      </c>
      <c r="AI142" s="95" t="s">
        <v>191</v>
      </c>
      <c r="AJ142" s="99" t="s">
        <v>191</v>
      </c>
      <c r="AK142" s="16" t="s">
        <v>191</v>
      </c>
      <c r="AL142" s="8" t="s">
        <v>191</v>
      </c>
    </row>
    <row r="143" spans="1:38" s="4" customFormat="1" ht="14.25" customHeight="1" x14ac:dyDescent="0.25">
      <c r="A143" s="84"/>
      <c r="B143" s="79"/>
      <c r="C143" s="53"/>
      <c r="D143" s="56"/>
      <c r="E143" s="55"/>
      <c r="F143" s="55"/>
      <c r="G143" s="55"/>
      <c r="H143" s="53"/>
      <c r="I143" s="53"/>
      <c r="J143" s="53"/>
      <c r="K143" s="53"/>
      <c r="L143" s="53"/>
      <c r="M143" s="53"/>
      <c r="N143" s="55"/>
      <c r="O143" s="57"/>
      <c r="P143" s="53"/>
      <c r="Q143" s="63"/>
      <c r="R143" s="130"/>
      <c r="S143" s="130"/>
      <c r="T143" s="63"/>
      <c r="U143" s="63"/>
      <c r="V143" s="69"/>
      <c r="W143" s="69"/>
      <c r="X143" s="59"/>
      <c r="Y143" s="56"/>
      <c r="Z143" s="56"/>
      <c r="AA143" s="114"/>
      <c r="AB143" s="59"/>
      <c r="AC143" s="56"/>
      <c r="AD143" s="56"/>
      <c r="AE143" s="56"/>
      <c r="AF143" s="62"/>
      <c r="AG143" s="55"/>
      <c r="AH143" s="62"/>
      <c r="AI143" s="101"/>
      <c r="AJ143" s="100"/>
      <c r="AK143" s="63"/>
      <c r="AL143" s="56"/>
    </row>
    <row r="144" spans="1:38" s="4" customFormat="1" ht="97.5" customHeight="1" x14ac:dyDescent="0.25">
      <c r="A144" s="82" t="str">
        <f>CONCATENATE(B144,"-",C144,"-",E144,"-",F144)</f>
        <v>1.OG-1003-01-X</v>
      </c>
      <c r="B144" s="77" t="s">
        <v>271</v>
      </c>
      <c r="C144" s="45">
        <v>1003</v>
      </c>
      <c r="D144" s="47" t="s">
        <v>316</v>
      </c>
      <c r="E144" s="88" t="s">
        <v>181</v>
      </c>
      <c r="F144" s="46" t="s">
        <v>182</v>
      </c>
      <c r="G144" s="46">
        <v>5</v>
      </c>
      <c r="H144" s="47" t="s">
        <v>279</v>
      </c>
      <c r="I144" s="35" t="s">
        <v>184</v>
      </c>
      <c r="J144" s="35" t="s">
        <v>241</v>
      </c>
      <c r="K144" s="35" t="s">
        <v>219</v>
      </c>
      <c r="L144" s="46" t="s">
        <v>280</v>
      </c>
      <c r="M144" s="35" t="s">
        <v>281</v>
      </c>
      <c r="N144" s="46" t="s">
        <v>189</v>
      </c>
      <c r="O144" s="48" t="s">
        <v>123</v>
      </c>
      <c r="P144" s="70" t="s">
        <v>191</v>
      </c>
      <c r="Q144" s="52" t="s">
        <v>191</v>
      </c>
      <c r="R144" s="128"/>
      <c r="S144" s="128"/>
      <c r="T144" s="52" t="s">
        <v>191</v>
      </c>
      <c r="U144" s="50" t="s">
        <v>191</v>
      </c>
      <c r="V144" s="71" t="s">
        <v>191</v>
      </c>
      <c r="W144" s="66" t="s">
        <v>191</v>
      </c>
      <c r="X144" s="50" t="s">
        <v>191</v>
      </c>
      <c r="Y144" s="38" t="s">
        <v>191</v>
      </c>
      <c r="Z144" s="38" t="s">
        <v>191</v>
      </c>
      <c r="AA144" s="115" t="s">
        <v>191</v>
      </c>
      <c r="AB144" s="66"/>
      <c r="AC144" s="66" t="s">
        <v>191</v>
      </c>
      <c r="AD144" s="66" t="s">
        <v>191</v>
      </c>
      <c r="AE144" s="66" t="s">
        <v>191</v>
      </c>
      <c r="AF144" s="66" t="s">
        <v>191</v>
      </c>
      <c r="AG144" s="66" t="s">
        <v>191</v>
      </c>
      <c r="AH144" s="66" t="s">
        <v>191</v>
      </c>
      <c r="AI144" s="93" t="s">
        <v>191</v>
      </c>
      <c r="AJ144" s="97" t="s">
        <v>191</v>
      </c>
      <c r="AK144" s="52" t="s">
        <v>191</v>
      </c>
      <c r="AL144" s="38" t="s">
        <v>191</v>
      </c>
    </row>
    <row r="145" spans="1:38" s="4" customFormat="1" ht="97.5" customHeight="1" x14ac:dyDescent="0.25">
      <c r="A145" s="83" t="str">
        <f t="shared" ref="A145:A146" si="33">CONCATENATE(B145,"-",C145,"-",E145,"-",F145)</f>
        <v>1.OG-1003-01-1</v>
      </c>
      <c r="B145" s="78" t="str">
        <f>B144</f>
        <v>1.OG</v>
      </c>
      <c r="C145" s="34">
        <f>C144</f>
        <v>1003</v>
      </c>
      <c r="D145" s="8" t="str">
        <f>D144</f>
        <v>Wardrobe</v>
      </c>
      <c r="E145" s="7" t="str">
        <f>E144</f>
        <v>01</v>
      </c>
      <c r="F145" s="7">
        <v>1</v>
      </c>
      <c r="G145" s="37" t="s">
        <v>191</v>
      </c>
      <c r="H145" s="36" t="s">
        <v>191</v>
      </c>
      <c r="I145" s="36" t="s">
        <v>191</v>
      </c>
      <c r="J145" s="36" t="s">
        <v>191</v>
      </c>
      <c r="K145" s="36" t="s">
        <v>191</v>
      </c>
      <c r="L145" s="36" t="s">
        <v>191</v>
      </c>
      <c r="M145" s="36" t="s">
        <v>191</v>
      </c>
      <c r="N145" s="37" t="s">
        <v>189</v>
      </c>
      <c r="O145" s="39" t="s">
        <v>191</v>
      </c>
      <c r="P145" s="36" t="s">
        <v>191</v>
      </c>
      <c r="Q145" s="16" t="s">
        <v>191</v>
      </c>
      <c r="R145" s="129" t="s">
        <v>193</v>
      </c>
      <c r="S145" s="129" t="s">
        <v>193</v>
      </c>
      <c r="T145" s="99" t="s">
        <v>191</v>
      </c>
      <c r="U145" s="109" t="s">
        <v>191</v>
      </c>
      <c r="V145" s="26" t="s">
        <v>191</v>
      </c>
      <c r="W145" s="111" t="s">
        <v>191</v>
      </c>
      <c r="X145" s="28" t="s">
        <v>191</v>
      </c>
      <c r="Y145" s="28" t="s">
        <v>191</v>
      </c>
      <c r="Z145" s="28" t="s">
        <v>191</v>
      </c>
      <c r="AA145" s="116">
        <v>0</v>
      </c>
      <c r="AB145" s="19">
        <v>0</v>
      </c>
      <c r="AC145" s="25">
        <v>0</v>
      </c>
      <c r="AD145" s="119">
        <v>0.2</v>
      </c>
      <c r="AE145" s="25">
        <v>0</v>
      </c>
      <c r="AF145" s="15">
        <v>0</v>
      </c>
      <c r="AG145" s="7">
        <f>G144</f>
        <v>5</v>
      </c>
      <c r="AH145" s="15">
        <v>0</v>
      </c>
      <c r="AI145" s="102" t="s">
        <v>191</v>
      </c>
      <c r="AJ145" s="99" t="s">
        <v>191</v>
      </c>
      <c r="AK145" s="99" t="s">
        <v>191</v>
      </c>
      <c r="AL145" s="8" t="s">
        <v>191</v>
      </c>
    </row>
    <row r="146" spans="1:38" s="4" customFormat="1" ht="97.5" customHeight="1" x14ac:dyDescent="0.25">
      <c r="A146" s="83" t="str">
        <f t="shared" si="33"/>
        <v>1.OG-1003-01-2</v>
      </c>
      <c r="B146" s="78" t="str">
        <f>B144</f>
        <v>1.OG</v>
      </c>
      <c r="C146" s="34">
        <f>C144</f>
        <v>1003</v>
      </c>
      <c r="D146" s="8" t="str">
        <f>D144</f>
        <v>Wardrobe</v>
      </c>
      <c r="E146" s="7" t="str">
        <f>E144</f>
        <v>01</v>
      </c>
      <c r="F146" s="7">
        <v>2</v>
      </c>
      <c r="G146" s="37" t="s">
        <v>191</v>
      </c>
      <c r="H146" s="36"/>
      <c r="I146" s="36" t="s">
        <v>191</v>
      </c>
      <c r="J146" s="36" t="s">
        <v>191</v>
      </c>
      <c r="K146" s="36" t="s">
        <v>191</v>
      </c>
      <c r="L146" s="36" t="s">
        <v>191</v>
      </c>
      <c r="M146" s="36" t="s">
        <v>191</v>
      </c>
      <c r="N146" s="37"/>
      <c r="O146" s="39" t="s">
        <v>191</v>
      </c>
      <c r="P146" s="36" t="s">
        <v>191</v>
      </c>
      <c r="Q146" s="16" t="s">
        <v>191</v>
      </c>
      <c r="R146" s="129" t="s">
        <v>193</v>
      </c>
      <c r="S146" s="129" t="s">
        <v>193</v>
      </c>
      <c r="T146" s="16" t="s">
        <v>191</v>
      </c>
      <c r="U146" s="109" t="s">
        <v>191</v>
      </c>
      <c r="V146" s="26" t="s">
        <v>191</v>
      </c>
      <c r="W146" s="111" t="s">
        <v>191</v>
      </c>
      <c r="X146" s="28" t="s">
        <v>191</v>
      </c>
      <c r="Y146" s="28" t="s">
        <v>191</v>
      </c>
      <c r="Z146" s="28" t="s">
        <v>191</v>
      </c>
      <c r="AA146" s="117">
        <v>0</v>
      </c>
      <c r="AB146" s="72">
        <v>0</v>
      </c>
      <c r="AC146" s="25">
        <v>0</v>
      </c>
      <c r="AD146" s="119">
        <v>0.2</v>
      </c>
      <c r="AE146" s="25">
        <v>0</v>
      </c>
      <c r="AF146" s="15">
        <v>0</v>
      </c>
      <c r="AG146" s="7">
        <f>G144</f>
        <v>5</v>
      </c>
      <c r="AH146" s="15">
        <v>0</v>
      </c>
      <c r="AI146" s="95" t="s">
        <v>191</v>
      </c>
      <c r="AJ146" s="99" t="s">
        <v>191</v>
      </c>
      <c r="AK146" s="16" t="s">
        <v>191</v>
      </c>
      <c r="AL146" s="8" t="s">
        <v>191</v>
      </c>
    </row>
    <row r="147" spans="1:38" s="4" customFormat="1" ht="14.25" customHeight="1" x14ac:dyDescent="0.25">
      <c r="A147" s="84"/>
      <c r="B147" s="79"/>
      <c r="C147" s="53"/>
      <c r="D147" s="56"/>
      <c r="E147" s="55"/>
      <c r="F147" s="55"/>
      <c r="G147" s="55"/>
      <c r="H147" s="53"/>
      <c r="I147" s="53"/>
      <c r="J147" s="53"/>
      <c r="K147" s="53"/>
      <c r="L147" s="53"/>
      <c r="M147" s="53"/>
      <c r="N147" s="55"/>
      <c r="O147" s="57"/>
      <c r="P147" s="53"/>
      <c r="Q147" s="63"/>
      <c r="R147" s="130"/>
      <c r="S147" s="130"/>
      <c r="T147" s="63"/>
      <c r="U147" s="63"/>
      <c r="V147" s="69"/>
      <c r="W147" s="69"/>
      <c r="X147" s="59"/>
      <c r="Y147" s="56"/>
      <c r="Z147" s="56"/>
      <c r="AA147" s="114"/>
      <c r="AB147" s="59"/>
      <c r="AC147" s="56"/>
      <c r="AD147" s="56"/>
      <c r="AE147" s="56"/>
      <c r="AF147" s="62"/>
      <c r="AG147" s="55"/>
      <c r="AH147" s="62"/>
      <c r="AI147" s="101"/>
      <c r="AJ147" s="100"/>
      <c r="AK147" s="63"/>
      <c r="AL147" s="56"/>
    </row>
    <row r="148" spans="1:38" s="4" customFormat="1" ht="97.5" customHeight="1" x14ac:dyDescent="0.25">
      <c r="A148" s="82" t="str">
        <f>CONCATENATE(B148,"-",C148,"-",E148,"-",F148)</f>
        <v>1.OG-1008-01-X</v>
      </c>
      <c r="B148" s="77" t="s">
        <v>271</v>
      </c>
      <c r="C148" s="45">
        <v>1008</v>
      </c>
      <c r="D148" s="47" t="s">
        <v>268</v>
      </c>
      <c r="E148" s="88" t="s">
        <v>181</v>
      </c>
      <c r="F148" s="46" t="s">
        <v>182</v>
      </c>
      <c r="G148" s="46">
        <v>8</v>
      </c>
      <c r="H148" s="47" t="s">
        <v>317</v>
      </c>
      <c r="I148" s="35" t="s">
        <v>184</v>
      </c>
      <c r="J148" s="35" t="s">
        <v>241</v>
      </c>
      <c r="K148" s="35" t="s">
        <v>186</v>
      </c>
      <c r="L148" s="46">
        <v>830</v>
      </c>
      <c r="M148" s="35" t="s">
        <v>318</v>
      </c>
      <c r="N148" s="46" t="s">
        <v>189</v>
      </c>
      <c r="O148" s="48" t="s">
        <v>125</v>
      </c>
      <c r="P148" s="70" t="s">
        <v>191</v>
      </c>
      <c r="Q148" s="52" t="s">
        <v>191</v>
      </c>
      <c r="R148" s="128"/>
      <c r="S148" s="128"/>
      <c r="T148" s="52" t="s">
        <v>191</v>
      </c>
      <c r="U148" s="50" t="s">
        <v>191</v>
      </c>
      <c r="V148" s="71" t="s">
        <v>191</v>
      </c>
      <c r="W148" s="66" t="s">
        <v>191</v>
      </c>
      <c r="X148" s="50" t="s">
        <v>191</v>
      </c>
      <c r="Y148" s="38" t="s">
        <v>191</v>
      </c>
      <c r="Z148" s="38" t="s">
        <v>191</v>
      </c>
      <c r="AA148" s="115" t="s">
        <v>191</v>
      </c>
      <c r="AB148" s="66"/>
      <c r="AC148" s="66" t="s">
        <v>191</v>
      </c>
      <c r="AD148" s="66" t="s">
        <v>191</v>
      </c>
      <c r="AE148" s="66" t="s">
        <v>191</v>
      </c>
      <c r="AF148" s="66" t="s">
        <v>191</v>
      </c>
      <c r="AG148" s="66" t="s">
        <v>191</v>
      </c>
      <c r="AH148" s="66" t="s">
        <v>191</v>
      </c>
      <c r="AI148" s="93" t="s">
        <v>191</v>
      </c>
      <c r="AJ148" s="97" t="s">
        <v>191</v>
      </c>
      <c r="AK148" s="52" t="s">
        <v>191</v>
      </c>
      <c r="AL148" s="38" t="s">
        <v>191</v>
      </c>
    </row>
    <row r="149" spans="1:38" s="4" customFormat="1" ht="97.5" customHeight="1" x14ac:dyDescent="0.25">
      <c r="A149" s="83" t="str">
        <f t="shared" ref="A149:A150" si="34">CONCATENATE(B149,"-",C149,"-",E149,"-",F149)</f>
        <v>1.OG-1008-01-1</v>
      </c>
      <c r="B149" s="78" t="str">
        <f>B148</f>
        <v>1.OG</v>
      </c>
      <c r="C149" s="34">
        <f>C148</f>
        <v>1008</v>
      </c>
      <c r="D149" s="8" t="str">
        <f>D148</f>
        <v>WC D</v>
      </c>
      <c r="E149" s="7" t="str">
        <f>E148</f>
        <v>01</v>
      </c>
      <c r="F149" s="7">
        <v>1</v>
      </c>
      <c r="G149" s="37" t="s">
        <v>191</v>
      </c>
      <c r="H149" s="36" t="s">
        <v>191</v>
      </c>
      <c r="I149" s="36" t="s">
        <v>191</v>
      </c>
      <c r="J149" s="36" t="s">
        <v>191</v>
      </c>
      <c r="K149" s="36" t="s">
        <v>191</v>
      </c>
      <c r="L149" s="36" t="s">
        <v>191</v>
      </c>
      <c r="M149" s="36" t="s">
        <v>191</v>
      </c>
      <c r="N149" s="37" t="s">
        <v>189</v>
      </c>
      <c r="O149" s="39" t="s">
        <v>191</v>
      </c>
      <c r="P149" s="36" t="s">
        <v>191</v>
      </c>
      <c r="Q149" s="16" t="s">
        <v>191</v>
      </c>
      <c r="R149" s="129" t="s">
        <v>193</v>
      </c>
      <c r="S149" s="129" t="s">
        <v>193</v>
      </c>
      <c r="T149" s="99" t="s">
        <v>191</v>
      </c>
      <c r="U149" s="109" t="s">
        <v>191</v>
      </c>
      <c r="V149" s="26" t="s">
        <v>191</v>
      </c>
      <c r="W149" s="111" t="s">
        <v>191</v>
      </c>
      <c r="X149" s="28" t="s">
        <v>191</v>
      </c>
      <c r="Y149" s="28" t="s">
        <v>191</v>
      </c>
      <c r="Z149" s="28" t="s">
        <v>191</v>
      </c>
      <c r="AA149" s="116">
        <v>0</v>
      </c>
      <c r="AB149" s="19">
        <v>0</v>
      </c>
      <c r="AC149" s="25">
        <v>0</v>
      </c>
      <c r="AD149" s="119">
        <v>0.2</v>
      </c>
      <c r="AE149" s="25">
        <v>0</v>
      </c>
      <c r="AF149" s="15">
        <v>0</v>
      </c>
      <c r="AG149" s="7">
        <f>G148</f>
        <v>8</v>
      </c>
      <c r="AH149" s="15">
        <v>0</v>
      </c>
      <c r="AI149" s="102" t="s">
        <v>191</v>
      </c>
      <c r="AJ149" s="99" t="s">
        <v>191</v>
      </c>
      <c r="AK149" s="99" t="s">
        <v>191</v>
      </c>
      <c r="AL149" s="8" t="s">
        <v>191</v>
      </c>
    </row>
    <row r="150" spans="1:38" s="4" customFormat="1" ht="97.5" customHeight="1" x14ac:dyDescent="0.25">
      <c r="A150" s="83" t="str">
        <f t="shared" si="34"/>
        <v>1.OG-1008-01-2</v>
      </c>
      <c r="B150" s="78" t="str">
        <f>B148</f>
        <v>1.OG</v>
      </c>
      <c r="C150" s="34">
        <f>C148</f>
        <v>1008</v>
      </c>
      <c r="D150" s="8" t="str">
        <f>D148</f>
        <v>WC D</v>
      </c>
      <c r="E150" s="7" t="str">
        <f>E148</f>
        <v>01</v>
      </c>
      <c r="F150" s="7">
        <v>2</v>
      </c>
      <c r="G150" s="37" t="s">
        <v>191</v>
      </c>
      <c r="H150" s="36"/>
      <c r="I150" s="36" t="s">
        <v>191</v>
      </c>
      <c r="J150" s="36" t="s">
        <v>191</v>
      </c>
      <c r="K150" s="36" t="s">
        <v>191</v>
      </c>
      <c r="L150" s="36" t="s">
        <v>191</v>
      </c>
      <c r="M150" s="36" t="s">
        <v>191</v>
      </c>
      <c r="N150" s="37"/>
      <c r="O150" s="39" t="s">
        <v>191</v>
      </c>
      <c r="P150" s="36" t="s">
        <v>191</v>
      </c>
      <c r="Q150" s="16" t="s">
        <v>191</v>
      </c>
      <c r="R150" s="129" t="s">
        <v>193</v>
      </c>
      <c r="S150" s="129" t="s">
        <v>193</v>
      </c>
      <c r="T150" s="16" t="s">
        <v>191</v>
      </c>
      <c r="U150" s="109" t="s">
        <v>191</v>
      </c>
      <c r="V150" s="26" t="s">
        <v>191</v>
      </c>
      <c r="W150" s="111" t="s">
        <v>191</v>
      </c>
      <c r="X150" s="28" t="s">
        <v>191</v>
      </c>
      <c r="Y150" s="28" t="s">
        <v>191</v>
      </c>
      <c r="Z150" s="28" t="s">
        <v>191</v>
      </c>
      <c r="AA150" s="117">
        <v>0</v>
      </c>
      <c r="AB150" s="72">
        <v>0</v>
      </c>
      <c r="AC150" s="25">
        <v>0</v>
      </c>
      <c r="AD150" s="119">
        <v>0.2</v>
      </c>
      <c r="AE150" s="25">
        <v>0</v>
      </c>
      <c r="AF150" s="15">
        <v>0</v>
      </c>
      <c r="AG150" s="7">
        <f>G148</f>
        <v>8</v>
      </c>
      <c r="AH150" s="15">
        <v>0</v>
      </c>
      <c r="AI150" s="95" t="s">
        <v>191</v>
      </c>
      <c r="AJ150" s="99" t="s">
        <v>191</v>
      </c>
      <c r="AK150" s="16" t="s">
        <v>191</v>
      </c>
      <c r="AL150" s="8" t="s">
        <v>191</v>
      </c>
    </row>
    <row r="151" spans="1:38" s="4" customFormat="1" ht="14.25" customHeight="1" x14ac:dyDescent="0.25">
      <c r="A151" s="84"/>
      <c r="B151" s="79"/>
      <c r="C151" s="53"/>
      <c r="D151" s="56"/>
      <c r="E151" s="55"/>
      <c r="F151" s="55"/>
      <c r="G151" s="55"/>
      <c r="H151" s="53"/>
      <c r="I151" s="53"/>
      <c r="J151" s="53"/>
      <c r="K151" s="53"/>
      <c r="L151" s="53"/>
      <c r="M151" s="53"/>
      <c r="N151" s="55"/>
      <c r="O151" s="57"/>
      <c r="P151" s="53"/>
      <c r="Q151" s="63"/>
      <c r="R151" s="130"/>
      <c r="S151" s="130"/>
      <c r="T151" s="63"/>
      <c r="U151" s="63"/>
      <c r="V151" s="69"/>
      <c r="W151" s="69"/>
      <c r="X151" s="59"/>
      <c r="Y151" s="56"/>
      <c r="Z151" s="56"/>
      <c r="AA151" s="114"/>
      <c r="AB151" s="59"/>
      <c r="AC151" s="56"/>
      <c r="AD151" s="56"/>
      <c r="AE151" s="56"/>
      <c r="AF151" s="62"/>
      <c r="AG151" s="55"/>
      <c r="AH151" s="62"/>
      <c r="AI151" s="101"/>
      <c r="AJ151" s="100"/>
      <c r="AK151" s="63"/>
      <c r="AL151" s="56"/>
    </row>
    <row r="152" spans="1:38" s="4" customFormat="1" ht="97.5" customHeight="1" x14ac:dyDescent="0.25">
      <c r="A152" s="82" t="str">
        <f>CONCATENATE(B152,"-",C152,"-",E152,"-",F152)</f>
        <v>1.OG-1009-01-X</v>
      </c>
      <c r="B152" s="77" t="s">
        <v>271</v>
      </c>
      <c r="C152" s="45">
        <v>1009</v>
      </c>
      <c r="D152" s="47" t="s">
        <v>270</v>
      </c>
      <c r="E152" s="88" t="s">
        <v>181</v>
      </c>
      <c r="F152" s="46" t="s">
        <v>182</v>
      </c>
      <c r="G152" s="46">
        <v>14</v>
      </c>
      <c r="H152" s="47" t="s">
        <v>317</v>
      </c>
      <c r="I152" s="35" t="s">
        <v>184</v>
      </c>
      <c r="J152" s="35" t="s">
        <v>241</v>
      </c>
      <c r="K152" s="35" t="s">
        <v>186</v>
      </c>
      <c r="L152" s="46">
        <v>830</v>
      </c>
      <c r="M152" s="35" t="s">
        <v>318</v>
      </c>
      <c r="N152" s="46" t="s">
        <v>189</v>
      </c>
      <c r="O152" s="48" t="s">
        <v>125</v>
      </c>
      <c r="P152" s="70" t="s">
        <v>191</v>
      </c>
      <c r="Q152" s="52" t="s">
        <v>191</v>
      </c>
      <c r="R152" s="128"/>
      <c r="S152" s="128"/>
      <c r="T152" s="52" t="s">
        <v>191</v>
      </c>
      <c r="U152" s="50" t="s">
        <v>191</v>
      </c>
      <c r="V152" s="71" t="s">
        <v>191</v>
      </c>
      <c r="W152" s="66" t="s">
        <v>191</v>
      </c>
      <c r="X152" s="50" t="s">
        <v>191</v>
      </c>
      <c r="Y152" s="38" t="s">
        <v>191</v>
      </c>
      <c r="Z152" s="38" t="s">
        <v>191</v>
      </c>
      <c r="AA152" s="115" t="s">
        <v>191</v>
      </c>
      <c r="AB152" s="66"/>
      <c r="AC152" s="66" t="s">
        <v>191</v>
      </c>
      <c r="AD152" s="66" t="s">
        <v>191</v>
      </c>
      <c r="AE152" s="66" t="s">
        <v>191</v>
      </c>
      <c r="AF152" s="66" t="s">
        <v>191</v>
      </c>
      <c r="AG152" s="66" t="s">
        <v>191</v>
      </c>
      <c r="AH152" s="66" t="s">
        <v>191</v>
      </c>
      <c r="AI152" s="93" t="s">
        <v>191</v>
      </c>
      <c r="AJ152" s="97" t="s">
        <v>191</v>
      </c>
      <c r="AK152" s="52" t="s">
        <v>191</v>
      </c>
      <c r="AL152" s="38" t="s">
        <v>191</v>
      </c>
    </row>
    <row r="153" spans="1:38" s="4" customFormat="1" ht="97.5" customHeight="1" x14ac:dyDescent="0.25">
      <c r="A153" s="83" t="str">
        <f t="shared" ref="A153:A154" si="35">CONCATENATE(B153,"-",C153,"-",E153,"-",F153)</f>
        <v>1.OG-1009-01-1</v>
      </c>
      <c r="B153" s="78" t="str">
        <f>B152</f>
        <v>1.OG</v>
      </c>
      <c r="C153" s="34">
        <f>C152</f>
        <v>1009</v>
      </c>
      <c r="D153" s="8" t="str">
        <f>D152</f>
        <v>WC H</v>
      </c>
      <c r="E153" s="7" t="str">
        <f>E152</f>
        <v>01</v>
      </c>
      <c r="F153" s="7">
        <v>1</v>
      </c>
      <c r="G153" s="37" t="s">
        <v>191</v>
      </c>
      <c r="H153" s="36" t="s">
        <v>191</v>
      </c>
      <c r="I153" s="36" t="s">
        <v>191</v>
      </c>
      <c r="J153" s="36" t="s">
        <v>191</v>
      </c>
      <c r="K153" s="36" t="s">
        <v>191</v>
      </c>
      <c r="L153" s="36" t="s">
        <v>191</v>
      </c>
      <c r="M153" s="36" t="s">
        <v>191</v>
      </c>
      <c r="N153" s="37" t="s">
        <v>189</v>
      </c>
      <c r="O153" s="39" t="s">
        <v>191</v>
      </c>
      <c r="P153" s="36" t="s">
        <v>191</v>
      </c>
      <c r="Q153" s="16" t="s">
        <v>191</v>
      </c>
      <c r="R153" s="129" t="s">
        <v>193</v>
      </c>
      <c r="S153" s="129" t="s">
        <v>193</v>
      </c>
      <c r="T153" s="99" t="s">
        <v>191</v>
      </c>
      <c r="U153" s="109" t="s">
        <v>191</v>
      </c>
      <c r="V153" s="26" t="s">
        <v>191</v>
      </c>
      <c r="W153" s="111" t="s">
        <v>191</v>
      </c>
      <c r="X153" s="28" t="s">
        <v>191</v>
      </c>
      <c r="Y153" s="28" t="s">
        <v>191</v>
      </c>
      <c r="Z153" s="28" t="s">
        <v>191</v>
      </c>
      <c r="AA153" s="116">
        <v>0</v>
      </c>
      <c r="AB153" s="19">
        <v>0</v>
      </c>
      <c r="AC153" s="25">
        <v>0</v>
      </c>
      <c r="AD153" s="119">
        <v>0.2</v>
      </c>
      <c r="AE153" s="25">
        <v>0</v>
      </c>
      <c r="AF153" s="15">
        <v>0</v>
      </c>
      <c r="AG153" s="7">
        <f>G152</f>
        <v>14</v>
      </c>
      <c r="AH153" s="15">
        <v>0</v>
      </c>
      <c r="AI153" s="102" t="s">
        <v>191</v>
      </c>
      <c r="AJ153" s="99" t="s">
        <v>191</v>
      </c>
      <c r="AK153" s="99" t="s">
        <v>191</v>
      </c>
      <c r="AL153" s="8" t="s">
        <v>191</v>
      </c>
    </row>
    <row r="154" spans="1:38" s="4" customFormat="1" ht="97.5" customHeight="1" x14ac:dyDescent="0.25">
      <c r="A154" s="83" t="str">
        <f t="shared" si="35"/>
        <v>1.OG-1009-01-2</v>
      </c>
      <c r="B154" s="78" t="str">
        <f>B152</f>
        <v>1.OG</v>
      </c>
      <c r="C154" s="34">
        <f>C152</f>
        <v>1009</v>
      </c>
      <c r="D154" s="8" t="str">
        <f>D152</f>
        <v>WC H</v>
      </c>
      <c r="E154" s="7" t="str">
        <f>E152</f>
        <v>01</v>
      </c>
      <c r="F154" s="7">
        <v>2</v>
      </c>
      <c r="G154" s="37" t="s">
        <v>191</v>
      </c>
      <c r="H154" s="36"/>
      <c r="I154" s="36" t="s">
        <v>191</v>
      </c>
      <c r="J154" s="36" t="s">
        <v>191</v>
      </c>
      <c r="K154" s="36" t="s">
        <v>191</v>
      </c>
      <c r="L154" s="36" t="s">
        <v>191</v>
      </c>
      <c r="M154" s="36" t="s">
        <v>191</v>
      </c>
      <c r="N154" s="37"/>
      <c r="O154" s="39" t="s">
        <v>191</v>
      </c>
      <c r="P154" s="36" t="s">
        <v>191</v>
      </c>
      <c r="Q154" s="16" t="s">
        <v>191</v>
      </c>
      <c r="R154" s="129" t="s">
        <v>193</v>
      </c>
      <c r="S154" s="129" t="s">
        <v>193</v>
      </c>
      <c r="T154" s="16" t="s">
        <v>191</v>
      </c>
      <c r="U154" s="109" t="s">
        <v>191</v>
      </c>
      <c r="V154" s="26" t="s">
        <v>191</v>
      </c>
      <c r="W154" s="111" t="s">
        <v>191</v>
      </c>
      <c r="X154" s="28" t="s">
        <v>191</v>
      </c>
      <c r="Y154" s="28" t="s">
        <v>191</v>
      </c>
      <c r="Z154" s="28" t="s">
        <v>191</v>
      </c>
      <c r="AA154" s="117">
        <v>0</v>
      </c>
      <c r="AB154" s="72">
        <v>0</v>
      </c>
      <c r="AC154" s="25">
        <v>0</v>
      </c>
      <c r="AD154" s="119">
        <v>0.2</v>
      </c>
      <c r="AE154" s="25">
        <v>0</v>
      </c>
      <c r="AF154" s="15">
        <v>0</v>
      </c>
      <c r="AG154" s="7">
        <f>G152</f>
        <v>14</v>
      </c>
      <c r="AH154" s="15">
        <v>0</v>
      </c>
      <c r="AI154" s="95" t="s">
        <v>191</v>
      </c>
      <c r="AJ154" s="99" t="s">
        <v>191</v>
      </c>
      <c r="AK154" s="16" t="s">
        <v>191</v>
      </c>
      <c r="AL154" s="8" t="s">
        <v>191</v>
      </c>
    </row>
    <row r="155" spans="1:38" s="4" customFormat="1" ht="14.25" customHeight="1" x14ac:dyDescent="0.25">
      <c r="A155" s="84"/>
      <c r="B155" s="79"/>
      <c r="C155" s="53"/>
      <c r="D155" s="56"/>
      <c r="E155" s="55"/>
      <c r="F155" s="55"/>
      <c r="G155" s="55"/>
      <c r="H155" s="53"/>
      <c r="I155" s="53"/>
      <c r="J155" s="53"/>
      <c r="K155" s="53"/>
      <c r="L155" s="53"/>
      <c r="M155" s="53"/>
      <c r="N155" s="55"/>
      <c r="O155" s="57"/>
      <c r="P155" s="53"/>
      <c r="Q155" s="63"/>
      <c r="R155" s="130"/>
      <c r="S155" s="130"/>
      <c r="T155" s="63"/>
      <c r="U155" s="63"/>
      <c r="V155" s="69"/>
      <c r="W155" s="69"/>
      <c r="X155" s="59"/>
      <c r="Y155" s="56"/>
      <c r="Z155" s="56"/>
      <c r="AA155" s="114"/>
      <c r="AB155" s="59"/>
      <c r="AC155" s="56"/>
      <c r="AD155" s="56"/>
      <c r="AE155" s="56"/>
      <c r="AF155" s="62"/>
      <c r="AG155" s="55"/>
      <c r="AH155" s="62"/>
      <c r="AI155" s="101"/>
      <c r="AJ155" s="100"/>
      <c r="AK155" s="63"/>
      <c r="AL155" s="56"/>
    </row>
    <row r="156" spans="1:38" s="4" customFormat="1" ht="97.5" customHeight="1" x14ac:dyDescent="0.25">
      <c r="A156" s="82" t="str">
        <f>CONCATENATE(B156,"-",C156,"-",E156,"-",F156)</f>
        <v>EG-XXXX-01-X</v>
      </c>
      <c r="B156" s="77" t="s">
        <v>319</v>
      </c>
      <c r="C156" s="120" t="s">
        <v>320</v>
      </c>
      <c r="D156" s="47" t="s">
        <v>321</v>
      </c>
      <c r="E156" s="88" t="s">
        <v>181</v>
      </c>
      <c r="F156" s="46" t="s">
        <v>182</v>
      </c>
      <c r="G156" s="46">
        <v>6</v>
      </c>
      <c r="H156" s="47" t="s">
        <v>191</v>
      </c>
      <c r="I156" s="35" t="s">
        <v>184</v>
      </c>
      <c r="J156" s="35" t="s">
        <v>241</v>
      </c>
      <c r="K156" s="35" t="s">
        <v>186</v>
      </c>
      <c r="L156" s="46" t="s">
        <v>322</v>
      </c>
      <c r="M156" s="35" t="s">
        <v>323</v>
      </c>
      <c r="N156" s="46" t="s">
        <v>189</v>
      </c>
      <c r="O156" s="48" t="s">
        <v>125</v>
      </c>
      <c r="P156" s="70" t="s">
        <v>324</v>
      </c>
      <c r="Q156" s="52" t="s">
        <v>191</v>
      </c>
      <c r="R156" s="128"/>
      <c r="S156" s="128"/>
      <c r="T156" s="52" t="s">
        <v>191</v>
      </c>
      <c r="U156" s="50" t="s">
        <v>191</v>
      </c>
      <c r="V156" s="71" t="s">
        <v>191</v>
      </c>
      <c r="W156" s="66" t="s">
        <v>191</v>
      </c>
      <c r="X156" s="50" t="s">
        <v>191</v>
      </c>
      <c r="Y156" s="38" t="s">
        <v>191</v>
      </c>
      <c r="Z156" s="38" t="s">
        <v>191</v>
      </c>
      <c r="AA156" s="115" t="s">
        <v>191</v>
      </c>
      <c r="AB156" s="66"/>
      <c r="AC156" s="66" t="s">
        <v>191</v>
      </c>
      <c r="AD156" s="66" t="s">
        <v>191</v>
      </c>
      <c r="AE156" s="66" t="s">
        <v>191</v>
      </c>
      <c r="AF156" s="66" t="s">
        <v>191</v>
      </c>
      <c r="AG156" s="66" t="s">
        <v>191</v>
      </c>
      <c r="AH156" s="66" t="s">
        <v>191</v>
      </c>
      <c r="AI156" s="93" t="s">
        <v>191</v>
      </c>
      <c r="AJ156" s="97" t="s">
        <v>191</v>
      </c>
      <c r="AK156" s="52" t="s">
        <v>191</v>
      </c>
      <c r="AL156" s="38" t="s">
        <v>191</v>
      </c>
    </row>
    <row r="157" spans="1:38" s="4" customFormat="1" ht="97.5" customHeight="1" x14ac:dyDescent="0.25">
      <c r="A157" s="83" t="str">
        <f t="shared" ref="A157:A158" si="36">CONCATENATE(B157,"-",C157,"-",E157,"-",F157)</f>
        <v>EG-XXXX-01-1</v>
      </c>
      <c r="B157" s="78" t="str">
        <f>B156</f>
        <v>EG</v>
      </c>
      <c r="C157" s="34" t="str">
        <f>C156</f>
        <v>XXXX</v>
      </c>
      <c r="D157" s="8" t="str">
        <f>D156</f>
        <v>Flur Küche</v>
      </c>
      <c r="E157" s="7" t="str">
        <f>E156</f>
        <v>01</v>
      </c>
      <c r="F157" s="7">
        <v>1</v>
      </c>
      <c r="G157" s="37" t="s">
        <v>191</v>
      </c>
      <c r="H157" s="36" t="s">
        <v>191</v>
      </c>
      <c r="I157" s="36" t="s">
        <v>191</v>
      </c>
      <c r="J157" s="36" t="s">
        <v>191</v>
      </c>
      <c r="K157" s="36" t="s">
        <v>191</v>
      </c>
      <c r="L157" s="36" t="s">
        <v>191</v>
      </c>
      <c r="M157" s="36" t="s">
        <v>191</v>
      </c>
      <c r="N157" s="37" t="s">
        <v>189</v>
      </c>
      <c r="O157" s="39" t="s">
        <v>191</v>
      </c>
      <c r="P157" s="36" t="s">
        <v>191</v>
      </c>
      <c r="Q157" s="16" t="s">
        <v>191</v>
      </c>
      <c r="R157" s="129" t="s">
        <v>193</v>
      </c>
      <c r="S157" s="129" t="s">
        <v>193</v>
      </c>
      <c r="T157" s="99" t="s">
        <v>191</v>
      </c>
      <c r="U157" s="109" t="s">
        <v>191</v>
      </c>
      <c r="V157" s="26" t="s">
        <v>191</v>
      </c>
      <c r="W157" s="111" t="s">
        <v>191</v>
      </c>
      <c r="X157" s="28" t="s">
        <v>191</v>
      </c>
      <c r="Y157" s="28" t="s">
        <v>191</v>
      </c>
      <c r="Z157" s="28" t="s">
        <v>191</v>
      </c>
      <c r="AA157" s="116">
        <v>0</v>
      </c>
      <c r="AB157" s="19">
        <v>0</v>
      </c>
      <c r="AC157" s="25">
        <v>0</v>
      </c>
      <c r="AD157" s="119">
        <v>0.2</v>
      </c>
      <c r="AE157" s="25">
        <v>0</v>
      </c>
      <c r="AF157" s="15">
        <v>0</v>
      </c>
      <c r="AG157" s="7">
        <f>G156</f>
        <v>6</v>
      </c>
      <c r="AH157" s="15">
        <v>0</v>
      </c>
      <c r="AI157" s="102" t="s">
        <v>191</v>
      </c>
      <c r="AJ157" s="99" t="s">
        <v>191</v>
      </c>
      <c r="AK157" s="99" t="s">
        <v>191</v>
      </c>
      <c r="AL157" s="8" t="s">
        <v>191</v>
      </c>
    </row>
    <row r="158" spans="1:38" s="4" customFormat="1" ht="97.5" customHeight="1" x14ac:dyDescent="0.25">
      <c r="A158" s="83" t="str">
        <f t="shared" si="36"/>
        <v>EG-XXXX-01-2</v>
      </c>
      <c r="B158" s="78" t="str">
        <f>B156</f>
        <v>EG</v>
      </c>
      <c r="C158" s="34" t="str">
        <f>C156</f>
        <v>XXXX</v>
      </c>
      <c r="D158" s="8" t="str">
        <f>D156</f>
        <v>Flur Küche</v>
      </c>
      <c r="E158" s="7" t="str">
        <f>E156</f>
        <v>01</v>
      </c>
      <c r="F158" s="7">
        <v>2</v>
      </c>
      <c r="G158" s="37" t="s">
        <v>191</v>
      </c>
      <c r="H158" s="36"/>
      <c r="I158" s="36" t="s">
        <v>191</v>
      </c>
      <c r="J158" s="36" t="s">
        <v>191</v>
      </c>
      <c r="K158" s="36" t="s">
        <v>191</v>
      </c>
      <c r="L158" s="36" t="s">
        <v>191</v>
      </c>
      <c r="M158" s="36" t="s">
        <v>191</v>
      </c>
      <c r="N158" s="37"/>
      <c r="O158" s="39" t="s">
        <v>191</v>
      </c>
      <c r="P158" s="36" t="s">
        <v>191</v>
      </c>
      <c r="Q158" s="16" t="s">
        <v>191</v>
      </c>
      <c r="R158" s="129" t="s">
        <v>193</v>
      </c>
      <c r="S158" s="129" t="s">
        <v>193</v>
      </c>
      <c r="T158" s="16" t="s">
        <v>191</v>
      </c>
      <c r="U158" s="109" t="s">
        <v>191</v>
      </c>
      <c r="V158" s="26" t="s">
        <v>191</v>
      </c>
      <c r="W158" s="111" t="s">
        <v>191</v>
      </c>
      <c r="X158" s="28" t="s">
        <v>191</v>
      </c>
      <c r="Y158" s="28" t="s">
        <v>191</v>
      </c>
      <c r="Z158" s="28" t="s">
        <v>191</v>
      </c>
      <c r="AA158" s="117">
        <v>0</v>
      </c>
      <c r="AB158" s="72">
        <v>0</v>
      </c>
      <c r="AC158" s="25">
        <v>0</v>
      </c>
      <c r="AD158" s="119">
        <v>0.2</v>
      </c>
      <c r="AE158" s="25">
        <v>0</v>
      </c>
      <c r="AF158" s="15">
        <v>0</v>
      </c>
      <c r="AG158" s="7">
        <f>G156</f>
        <v>6</v>
      </c>
      <c r="AH158" s="15">
        <v>0</v>
      </c>
      <c r="AI158" s="95" t="s">
        <v>191</v>
      </c>
      <c r="AJ158" s="99" t="s">
        <v>191</v>
      </c>
      <c r="AK158" s="16" t="s">
        <v>191</v>
      </c>
      <c r="AL158" s="8" t="s">
        <v>191</v>
      </c>
    </row>
    <row r="159" spans="1:38" s="4" customFormat="1" ht="14.25" customHeight="1" x14ac:dyDescent="0.25">
      <c r="A159" s="84"/>
      <c r="B159" s="79"/>
      <c r="C159" s="53"/>
      <c r="D159" s="56"/>
      <c r="E159" s="55"/>
      <c r="F159" s="55"/>
      <c r="G159" s="55"/>
      <c r="H159" s="53"/>
      <c r="I159" s="53"/>
      <c r="J159" s="53"/>
      <c r="K159" s="53"/>
      <c r="L159" s="53"/>
      <c r="M159" s="53"/>
      <c r="N159" s="55"/>
      <c r="O159" s="57"/>
      <c r="P159" s="53"/>
      <c r="Q159" s="63"/>
      <c r="R159" s="130"/>
      <c r="S159" s="130"/>
      <c r="T159" s="63"/>
      <c r="U159" s="63"/>
      <c r="V159" s="69"/>
      <c r="W159" s="69"/>
      <c r="X159" s="59"/>
      <c r="Y159" s="56"/>
      <c r="Z159" s="56"/>
      <c r="AA159" s="114"/>
      <c r="AB159" s="59"/>
      <c r="AC159" s="56"/>
      <c r="AD159" s="56"/>
      <c r="AE159" s="56"/>
      <c r="AF159" s="62"/>
      <c r="AG159" s="55"/>
      <c r="AH159" s="62"/>
      <c r="AI159" s="101"/>
      <c r="AJ159" s="100"/>
      <c r="AK159" s="63"/>
      <c r="AL159" s="56"/>
    </row>
    <row r="160" spans="1:38" s="4" customFormat="1" ht="97.5" customHeight="1" x14ac:dyDescent="0.25">
      <c r="A160" s="82" t="str">
        <f>CONCATENATE(B160,"-",C160,"-",E160,"-",F160)</f>
        <v>EG-XXXX-01-X</v>
      </c>
      <c r="B160" s="77" t="s">
        <v>319</v>
      </c>
      <c r="C160" s="45" t="s">
        <v>320</v>
      </c>
      <c r="D160" s="47" t="s">
        <v>325</v>
      </c>
      <c r="E160" s="88" t="s">
        <v>181</v>
      </c>
      <c r="F160" s="46" t="s">
        <v>182</v>
      </c>
      <c r="G160" s="46">
        <v>3</v>
      </c>
      <c r="H160" s="47" t="s">
        <v>191</v>
      </c>
      <c r="I160" s="35" t="s">
        <v>184</v>
      </c>
      <c r="J160" s="35" t="s">
        <v>241</v>
      </c>
      <c r="K160" s="35" t="s">
        <v>186</v>
      </c>
      <c r="L160" s="46" t="s">
        <v>326</v>
      </c>
      <c r="M160" s="35" t="s">
        <v>323</v>
      </c>
      <c r="N160" s="46" t="s">
        <v>189</v>
      </c>
      <c r="O160" s="48" t="s">
        <v>125</v>
      </c>
      <c r="P160" s="70" t="s">
        <v>191</v>
      </c>
      <c r="Q160" s="52" t="s">
        <v>191</v>
      </c>
      <c r="R160" s="128"/>
      <c r="S160" s="128"/>
      <c r="T160" s="52" t="s">
        <v>191</v>
      </c>
      <c r="U160" s="50" t="s">
        <v>191</v>
      </c>
      <c r="V160" s="71" t="s">
        <v>191</v>
      </c>
      <c r="W160" s="66" t="s">
        <v>191</v>
      </c>
      <c r="X160" s="50" t="s">
        <v>191</v>
      </c>
      <c r="Y160" s="38" t="s">
        <v>191</v>
      </c>
      <c r="Z160" s="38" t="s">
        <v>191</v>
      </c>
      <c r="AA160" s="115" t="s">
        <v>191</v>
      </c>
      <c r="AB160" s="66"/>
      <c r="AC160" s="66" t="s">
        <v>191</v>
      </c>
      <c r="AD160" s="66" t="s">
        <v>191</v>
      </c>
      <c r="AE160" s="66" t="s">
        <v>191</v>
      </c>
      <c r="AF160" s="66" t="s">
        <v>191</v>
      </c>
      <c r="AG160" s="66" t="s">
        <v>191</v>
      </c>
      <c r="AH160" s="66" t="s">
        <v>191</v>
      </c>
      <c r="AI160" s="93" t="s">
        <v>191</v>
      </c>
      <c r="AJ160" s="97" t="s">
        <v>191</v>
      </c>
      <c r="AK160" s="52" t="s">
        <v>191</v>
      </c>
      <c r="AL160" s="38" t="s">
        <v>191</v>
      </c>
    </row>
    <row r="161" spans="1:38" s="4" customFormat="1" ht="97.5" customHeight="1" x14ac:dyDescent="0.25">
      <c r="A161" s="83" t="str">
        <f t="shared" ref="A161:A162" si="37">CONCATENATE(B161,"-",C161,"-",E161,"-",F161)</f>
        <v>EG-XXXX-01-1</v>
      </c>
      <c r="B161" s="78" t="str">
        <f>B160</f>
        <v>EG</v>
      </c>
      <c r="C161" s="34" t="str">
        <f>C160</f>
        <v>XXXX</v>
      </c>
      <c r="D161" s="8" t="str">
        <f>D160</f>
        <v>Flur Büro Küche</v>
      </c>
      <c r="E161" s="7" t="str">
        <f>E160</f>
        <v>01</v>
      </c>
      <c r="F161" s="7">
        <v>1</v>
      </c>
      <c r="G161" s="37" t="s">
        <v>191</v>
      </c>
      <c r="H161" s="36" t="s">
        <v>191</v>
      </c>
      <c r="I161" s="36" t="s">
        <v>191</v>
      </c>
      <c r="J161" s="36" t="s">
        <v>191</v>
      </c>
      <c r="K161" s="36" t="s">
        <v>191</v>
      </c>
      <c r="L161" s="36" t="s">
        <v>191</v>
      </c>
      <c r="M161" s="36" t="s">
        <v>191</v>
      </c>
      <c r="N161" s="37" t="s">
        <v>189</v>
      </c>
      <c r="O161" s="39" t="s">
        <v>191</v>
      </c>
      <c r="P161" s="36" t="s">
        <v>191</v>
      </c>
      <c r="Q161" s="16" t="s">
        <v>191</v>
      </c>
      <c r="R161" s="129" t="s">
        <v>193</v>
      </c>
      <c r="S161" s="129" t="s">
        <v>193</v>
      </c>
      <c r="T161" s="99" t="s">
        <v>191</v>
      </c>
      <c r="U161" s="109" t="s">
        <v>191</v>
      </c>
      <c r="V161" s="26" t="s">
        <v>191</v>
      </c>
      <c r="W161" s="111" t="s">
        <v>191</v>
      </c>
      <c r="X161" s="28" t="s">
        <v>191</v>
      </c>
      <c r="Y161" s="28" t="s">
        <v>191</v>
      </c>
      <c r="Z161" s="28" t="s">
        <v>191</v>
      </c>
      <c r="AA161" s="116">
        <v>0</v>
      </c>
      <c r="AB161" s="19">
        <v>0</v>
      </c>
      <c r="AC161" s="25">
        <v>0</v>
      </c>
      <c r="AD161" s="119">
        <v>0.2</v>
      </c>
      <c r="AE161" s="25">
        <v>0</v>
      </c>
      <c r="AF161" s="15">
        <v>0</v>
      </c>
      <c r="AG161" s="7">
        <f>G160</f>
        <v>3</v>
      </c>
      <c r="AH161" s="15">
        <v>0</v>
      </c>
      <c r="AI161" s="102" t="s">
        <v>191</v>
      </c>
      <c r="AJ161" s="99" t="s">
        <v>191</v>
      </c>
      <c r="AK161" s="99" t="s">
        <v>191</v>
      </c>
      <c r="AL161" s="8" t="s">
        <v>191</v>
      </c>
    </row>
    <row r="162" spans="1:38" s="4" customFormat="1" ht="97.5" customHeight="1" x14ac:dyDescent="0.25">
      <c r="A162" s="83" t="str">
        <f t="shared" si="37"/>
        <v>EG-XXXX-01-2</v>
      </c>
      <c r="B162" s="78" t="str">
        <f>B160</f>
        <v>EG</v>
      </c>
      <c r="C162" s="34" t="str">
        <f>C160</f>
        <v>XXXX</v>
      </c>
      <c r="D162" s="8" t="str">
        <f>D160</f>
        <v>Flur Büro Küche</v>
      </c>
      <c r="E162" s="7" t="str">
        <f>E160</f>
        <v>01</v>
      </c>
      <c r="F162" s="7">
        <v>2</v>
      </c>
      <c r="G162" s="37" t="s">
        <v>191</v>
      </c>
      <c r="H162" s="36"/>
      <c r="I162" s="36" t="s">
        <v>191</v>
      </c>
      <c r="J162" s="36" t="s">
        <v>191</v>
      </c>
      <c r="K162" s="36" t="s">
        <v>191</v>
      </c>
      <c r="L162" s="36" t="s">
        <v>191</v>
      </c>
      <c r="M162" s="36" t="s">
        <v>191</v>
      </c>
      <c r="N162" s="37"/>
      <c r="O162" s="39" t="s">
        <v>191</v>
      </c>
      <c r="P162" s="36" t="s">
        <v>191</v>
      </c>
      <c r="Q162" s="16" t="s">
        <v>191</v>
      </c>
      <c r="R162" s="129" t="s">
        <v>193</v>
      </c>
      <c r="S162" s="129" t="s">
        <v>193</v>
      </c>
      <c r="T162" s="16" t="s">
        <v>191</v>
      </c>
      <c r="U162" s="109" t="s">
        <v>191</v>
      </c>
      <c r="V162" s="26" t="s">
        <v>191</v>
      </c>
      <c r="W162" s="111" t="s">
        <v>191</v>
      </c>
      <c r="X162" s="28" t="s">
        <v>191</v>
      </c>
      <c r="Y162" s="28" t="s">
        <v>191</v>
      </c>
      <c r="Z162" s="28" t="s">
        <v>191</v>
      </c>
      <c r="AA162" s="117">
        <v>0</v>
      </c>
      <c r="AB162" s="72">
        <v>0</v>
      </c>
      <c r="AC162" s="25">
        <v>0</v>
      </c>
      <c r="AD162" s="119">
        <v>0.2</v>
      </c>
      <c r="AE162" s="25">
        <v>0</v>
      </c>
      <c r="AF162" s="15">
        <v>0</v>
      </c>
      <c r="AG162" s="7">
        <f>G160</f>
        <v>3</v>
      </c>
      <c r="AH162" s="15">
        <v>0</v>
      </c>
      <c r="AI162" s="95" t="s">
        <v>191</v>
      </c>
      <c r="AJ162" s="99" t="s">
        <v>191</v>
      </c>
      <c r="AK162" s="16" t="s">
        <v>191</v>
      </c>
      <c r="AL162" s="8" t="s">
        <v>191</v>
      </c>
    </row>
    <row r="163" spans="1:38" s="4" customFormat="1" ht="14.25" customHeight="1" x14ac:dyDescent="0.25">
      <c r="A163" s="84"/>
      <c r="B163" s="79"/>
      <c r="C163" s="53"/>
      <c r="D163" s="56"/>
      <c r="E163" s="55"/>
      <c r="F163" s="55"/>
      <c r="G163" s="55"/>
      <c r="H163" s="53"/>
      <c r="I163" s="53"/>
      <c r="J163" s="53"/>
      <c r="K163" s="53"/>
      <c r="L163" s="53"/>
      <c r="M163" s="53"/>
      <c r="N163" s="55"/>
      <c r="O163" s="57"/>
      <c r="P163" s="53"/>
      <c r="Q163" s="63"/>
      <c r="R163" s="130"/>
      <c r="S163" s="130"/>
      <c r="T163" s="63"/>
      <c r="U163" s="63"/>
      <c r="V163" s="69"/>
      <c r="W163" s="69"/>
      <c r="X163" s="59"/>
      <c r="Y163" s="56"/>
      <c r="Z163" s="56"/>
      <c r="AA163" s="114"/>
      <c r="AB163" s="59"/>
      <c r="AC163" s="56"/>
      <c r="AD163" s="56"/>
      <c r="AE163" s="56"/>
      <c r="AF163" s="62"/>
      <c r="AG163" s="55"/>
      <c r="AH163" s="62"/>
      <c r="AI163" s="101"/>
      <c r="AJ163" s="100"/>
      <c r="AK163" s="63"/>
      <c r="AL163" s="56"/>
    </row>
    <row r="164" spans="1:38" s="4" customFormat="1" ht="97.5" customHeight="1" x14ac:dyDescent="0.25">
      <c r="A164" s="82" t="str">
        <f>CONCATENATE(B164,"-",C164,"-",E164,"-",F164)</f>
        <v>EG-XXXX-01-X</v>
      </c>
      <c r="B164" s="77" t="s">
        <v>319</v>
      </c>
      <c r="C164" s="45" t="s">
        <v>320</v>
      </c>
      <c r="D164" s="47" t="s">
        <v>327</v>
      </c>
      <c r="E164" s="88" t="s">
        <v>181</v>
      </c>
      <c r="F164" s="46" t="s">
        <v>182</v>
      </c>
      <c r="G164" s="46">
        <v>6</v>
      </c>
      <c r="H164" s="47" t="s">
        <v>191</v>
      </c>
      <c r="I164" s="35" t="s">
        <v>184</v>
      </c>
      <c r="J164" s="35" t="s">
        <v>241</v>
      </c>
      <c r="K164" s="35" t="s">
        <v>186</v>
      </c>
      <c r="L164" s="46" t="s">
        <v>326</v>
      </c>
      <c r="M164" s="35" t="s">
        <v>323</v>
      </c>
      <c r="N164" s="46" t="s">
        <v>189</v>
      </c>
      <c r="O164" s="48" t="s">
        <v>125</v>
      </c>
      <c r="P164" s="70" t="s">
        <v>191</v>
      </c>
      <c r="Q164" s="52" t="s">
        <v>191</v>
      </c>
      <c r="R164" s="128"/>
      <c r="S164" s="128"/>
      <c r="T164" s="52" t="s">
        <v>191</v>
      </c>
      <c r="U164" s="50" t="s">
        <v>191</v>
      </c>
      <c r="V164" s="71" t="s">
        <v>191</v>
      </c>
      <c r="W164" s="66" t="s">
        <v>191</v>
      </c>
      <c r="X164" s="50" t="s">
        <v>191</v>
      </c>
      <c r="Y164" s="38" t="s">
        <v>191</v>
      </c>
      <c r="Z164" s="38" t="s">
        <v>191</v>
      </c>
      <c r="AA164" s="115" t="s">
        <v>191</v>
      </c>
      <c r="AB164" s="66"/>
      <c r="AC164" s="66" t="s">
        <v>191</v>
      </c>
      <c r="AD164" s="66" t="s">
        <v>191</v>
      </c>
      <c r="AE164" s="66" t="s">
        <v>191</v>
      </c>
      <c r="AF164" s="66" t="s">
        <v>191</v>
      </c>
      <c r="AG164" s="66" t="s">
        <v>191</v>
      </c>
      <c r="AH164" s="66" t="s">
        <v>191</v>
      </c>
      <c r="AI164" s="93" t="s">
        <v>191</v>
      </c>
      <c r="AJ164" s="97" t="s">
        <v>191</v>
      </c>
      <c r="AK164" s="52" t="s">
        <v>191</v>
      </c>
      <c r="AL164" s="38" t="s">
        <v>191</v>
      </c>
    </row>
    <row r="165" spans="1:38" s="4" customFormat="1" ht="97.5" customHeight="1" x14ac:dyDescent="0.25">
      <c r="A165" s="83" t="str">
        <f t="shared" ref="A165:A166" si="38">CONCATENATE(B165,"-",C165,"-",E165,"-",F165)</f>
        <v>EG-XXXX-01-1</v>
      </c>
      <c r="B165" s="78" t="str">
        <f>B164</f>
        <v>EG</v>
      </c>
      <c r="C165" s="34" t="str">
        <f>C164</f>
        <v>XXXX</v>
      </c>
      <c r="D165" s="8" t="str">
        <f>D164</f>
        <v>Büro Küche</v>
      </c>
      <c r="E165" s="7" t="str">
        <f>E164</f>
        <v>01</v>
      </c>
      <c r="F165" s="7">
        <v>1</v>
      </c>
      <c r="G165" s="37" t="s">
        <v>191</v>
      </c>
      <c r="H165" s="36" t="s">
        <v>191</v>
      </c>
      <c r="I165" s="36" t="s">
        <v>191</v>
      </c>
      <c r="J165" s="36" t="s">
        <v>191</v>
      </c>
      <c r="K165" s="36" t="s">
        <v>191</v>
      </c>
      <c r="L165" s="36" t="s">
        <v>191</v>
      </c>
      <c r="M165" s="36" t="s">
        <v>191</v>
      </c>
      <c r="N165" s="37" t="s">
        <v>189</v>
      </c>
      <c r="O165" s="39" t="s">
        <v>191</v>
      </c>
      <c r="P165" s="36" t="s">
        <v>191</v>
      </c>
      <c r="Q165" s="16" t="s">
        <v>191</v>
      </c>
      <c r="R165" s="129" t="s">
        <v>193</v>
      </c>
      <c r="S165" s="129" t="s">
        <v>193</v>
      </c>
      <c r="T165" s="99" t="s">
        <v>191</v>
      </c>
      <c r="U165" s="109" t="s">
        <v>191</v>
      </c>
      <c r="V165" s="26" t="s">
        <v>191</v>
      </c>
      <c r="W165" s="111" t="s">
        <v>191</v>
      </c>
      <c r="X165" s="28" t="s">
        <v>191</v>
      </c>
      <c r="Y165" s="28" t="s">
        <v>191</v>
      </c>
      <c r="Z165" s="28" t="s">
        <v>191</v>
      </c>
      <c r="AA165" s="116">
        <v>0</v>
      </c>
      <c r="AB165" s="19">
        <v>0</v>
      </c>
      <c r="AC165" s="25">
        <v>0</v>
      </c>
      <c r="AD165" s="119">
        <v>0.2</v>
      </c>
      <c r="AE165" s="25">
        <v>0</v>
      </c>
      <c r="AF165" s="15">
        <v>0</v>
      </c>
      <c r="AG165" s="7">
        <f>G164</f>
        <v>6</v>
      </c>
      <c r="AH165" s="15">
        <v>0</v>
      </c>
      <c r="AI165" s="102" t="s">
        <v>191</v>
      </c>
      <c r="AJ165" s="99" t="s">
        <v>191</v>
      </c>
      <c r="AK165" s="99" t="s">
        <v>191</v>
      </c>
      <c r="AL165" s="8" t="s">
        <v>191</v>
      </c>
    </row>
    <row r="166" spans="1:38" s="4" customFormat="1" ht="97.5" customHeight="1" x14ac:dyDescent="0.25">
      <c r="A166" s="83" t="str">
        <f t="shared" si="38"/>
        <v>EG-XXXX-01-2</v>
      </c>
      <c r="B166" s="78" t="str">
        <f>B164</f>
        <v>EG</v>
      </c>
      <c r="C166" s="34" t="str">
        <f>C164</f>
        <v>XXXX</v>
      </c>
      <c r="D166" s="8" t="str">
        <f>D164</f>
        <v>Büro Küche</v>
      </c>
      <c r="E166" s="7" t="str">
        <f>E164</f>
        <v>01</v>
      </c>
      <c r="F166" s="7">
        <v>2</v>
      </c>
      <c r="G166" s="37" t="s">
        <v>191</v>
      </c>
      <c r="H166" s="36"/>
      <c r="I166" s="36" t="s">
        <v>191</v>
      </c>
      <c r="J166" s="36" t="s">
        <v>191</v>
      </c>
      <c r="K166" s="36" t="s">
        <v>191</v>
      </c>
      <c r="L166" s="36" t="s">
        <v>191</v>
      </c>
      <c r="M166" s="36" t="s">
        <v>191</v>
      </c>
      <c r="N166" s="37"/>
      <c r="O166" s="39" t="s">
        <v>191</v>
      </c>
      <c r="P166" s="36" t="s">
        <v>191</v>
      </c>
      <c r="Q166" s="16" t="s">
        <v>191</v>
      </c>
      <c r="R166" s="129" t="s">
        <v>193</v>
      </c>
      <c r="S166" s="129" t="s">
        <v>193</v>
      </c>
      <c r="T166" s="16" t="s">
        <v>191</v>
      </c>
      <c r="U166" s="109" t="s">
        <v>191</v>
      </c>
      <c r="V166" s="26" t="s">
        <v>191</v>
      </c>
      <c r="W166" s="111" t="s">
        <v>191</v>
      </c>
      <c r="X166" s="28" t="s">
        <v>191</v>
      </c>
      <c r="Y166" s="28" t="s">
        <v>191</v>
      </c>
      <c r="Z166" s="28" t="s">
        <v>191</v>
      </c>
      <c r="AA166" s="117">
        <v>0</v>
      </c>
      <c r="AB166" s="72">
        <v>0</v>
      </c>
      <c r="AC166" s="25">
        <v>0</v>
      </c>
      <c r="AD166" s="119">
        <v>0.2</v>
      </c>
      <c r="AE166" s="25">
        <v>0</v>
      </c>
      <c r="AF166" s="15">
        <v>0</v>
      </c>
      <c r="AG166" s="7">
        <f>G164</f>
        <v>6</v>
      </c>
      <c r="AH166" s="15">
        <v>0</v>
      </c>
      <c r="AI166" s="95" t="s">
        <v>191</v>
      </c>
      <c r="AJ166" s="99" t="s">
        <v>191</v>
      </c>
      <c r="AK166" s="16" t="s">
        <v>191</v>
      </c>
      <c r="AL166" s="8" t="s">
        <v>191</v>
      </c>
    </row>
    <row r="167" spans="1:38" s="4" customFormat="1" ht="14.25" customHeight="1" x14ac:dyDescent="0.25">
      <c r="A167" s="84"/>
      <c r="B167" s="79"/>
      <c r="C167" s="53"/>
      <c r="D167" s="56"/>
      <c r="E167" s="55"/>
      <c r="F167" s="55"/>
      <c r="G167" s="55"/>
      <c r="H167" s="53"/>
      <c r="I167" s="53"/>
      <c r="J167" s="53"/>
      <c r="K167" s="53"/>
      <c r="L167" s="53"/>
      <c r="M167" s="53"/>
      <c r="N167" s="55"/>
      <c r="O167" s="57"/>
      <c r="P167" s="53"/>
      <c r="Q167" s="63"/>
      <c r="R167" s="130"/>
      <c r="S167" s="130"/>
      <c r="T167" s="63"/>
      <c r="U167" s="63"/>
      <c r="V167" s="69"/>
      <c r="W167" s="69"/>
      <c r="X167" s="59"/>
      <c r="Y167" s="56"/>
      <c r="Z167" s="56"/>
      <c r="AA167" s="114"/>
      <c r="AB167" s="59"/>
      <c r="AC167" s="56"/>
      <c r="AD167" s="56"/>
      <c r="AE167" s="56"/>
      <c r="AF167" s="62"/>
      <c r="AG167" s="55"/>
      <c r="AH167" s="62"/>
      <c r="AI167" s="101"/>
      <c r="AJ167" s="100"/>
      <c r="AK167" s="63"/>
      <c r="AL167" s="56"/>
    </row>
    <row r="168" spans="1:38" s="4" customFormat="1" ht="97.5" customHeight="1" x14ac:dyDescent="0.25">
      <c r="A168" s="82" t="str">
        <f>CONCATENATE(B168,"-",C168,"-",E168,"-",F168)</f>
        <v>EG-XXXX-01-X</v>
      </c>
      <c r="B168" s="77" t="s">
        <v>319</v>
      </c>
      <c r="C168" s="45" t="s">
        <v>320</v>
      </c>
      <c r="D168" s="47" t="s">
        <v>328</v>
      </c>
      <c r="E168" s="88" t="s">
        <v>181</v>
      </c>
      <c r="F168" s="46" t="s">
        <v>182</v>
      </c>
      <c r="G168" s="46">
        <v>16</v>
      </c>
      <c r="H168" s="47" t="s">
        <v>273</v>
      </c>
      <c r="I168" s="35" t="s">
        <v>184</v>
      </c>
      <c r="J168" s="35" t="s">
        <v>241</v>
      </c>
      <c r="K168" s="35" t="s">
        <v>219</v>
      </c>
      <c r="L168" s="46" t="s">
        <v>274</v>
      </c>
      <c r="M168" s="35" t="s">
        <v>221</v>
      </c>
      <c r="N168" s="46" t="s">
        <v>189</v>
      </c>
      <c r="O168" s="48" t="s">
        <v>125</v>
      </c>
      <c r="P168" s="70" t="s">
        <v>191</v>
      </c>
      <c r="Q168" s="52" t="s">
        <v>191</v>
      </c>
      <c r="R168" s="128"/>
      <c r="S168" s="128"/>
      <c r="T168" s="52" t="s">
        <v>191</v>
      </c>
      <c r="U168" s="50" t="s">
        <v>191</v>
      </c>
      <c r="V168" s="71" t="s">
        <v>191</v>
      </c>
      <c r="W168" s="66" t="s">
        <v>191</v>
      </c>
      <c r="X168" s="50" t="s">
        <v>191</v>
      </c>
      <c r="Y168" s="38" t="s">
        <v>191</v>
      </c>
      <c r="Z168" s="38" t="s">
        <v>191</v>
      </c>
      <c r="AA168" s="115" t="s">
        <v>191</v>
      </c>
      <c r="AB168" s="66"/>
      <c r="AC168" s="66" t="s">
        <v>191</v>
      </c>
      <c r="AD168" s="66" t="s">
        <v>191</v>
      </c>
      <c r="AE168" s="66" t="s">
        <v>191</v>
      </c>
      <c r="AF168" s="66" t="s">
        <v>191</v>
      </c>
      <c r="AG168" s="66" t="s">
        <v>191</v>
      </c>
      <c r="AH168" s="66" t="s">
        <v>191</v>
      </c>
      <c r="AI168" s="93" t="s">
        <v>191</v>
      </c>
      <c r="AJ168" s="97" t="s">
        <v>191</v>
      </c>
      <c r="AK168" s="52" t="s">
        <v>191</v>
      </c>
      <c r="AL168" s="38" t="s">
        <v>191</v>
      </c>
    </row>
    <row r="169" spans="1:38" s="4" customFormat="1" ht="97.5" customHeight="1" x14ac:dyDescent="0.25">
      <c r="A169" s="83" t="str">
        <f t="shared" ref="A169:A170" si="39">CONCATENATE(B169,"-",C169,"-",E169,"-",F169)</f>
        <v>EG-XXXX-01-1</v>
      </c>
      <c r="B169" s="78" t="str">
        <f>B168</f>
        <v>EG</v>
      </c>
      <c r="C169" s="34" t="str">
        <f>C168</f>
        <v>XXXX</v>
      </c>
      <c r="D169" s="8" t="str">
        <f>D168</f>
        <v>Atrium</v>
      </c>
      <c r="E169" s="7" t="str">
        <f>E168</f>
        <v>01</v>
      </c>
      <c r="F169" s="7">
        <v>1</v>
      </c>
      <c r="G169" s="37" t="s">
        <v>191</v>
      </c>
      <c r="H169" s="36" t="s">
        <v>191</v>
      </c>
      <c r="I169" s="36" t="s">
        <v>191</v>
      </c>
      <c r="J169" s="36" t="s">
        <v>191</v>
      </c>
      <c r="K169" s="36" t="s">
        <v>191</v>
      </c>
      <c r="L169" s="36" t="s">
        <v>191</v>
      </c>
      <c r="M169" s="36" t="s">
        <v>191</v>
      </c>
      <c r="N169" s="37" t="s">
        <v>189</v>
      </c>
      <c r="O169" s="39" t="s">
        <v>191</v>
      </c>
      <c r="P169" s="36" t="s">
        <v>191</v>
      </c>
      <c r="Q169" s="16" t="s">
        <v>191</v>
      </c>
      <c r="R169" s="129" t="s">
        <v>193</v>
      </c>
      <c r="S169" s="129" t="s">
        <v>193</v>
      </c>
      <c r="T169" s="99" t="s">
        <v>191</v>
      </c>
      <c r="U169" s="109" t="s">
        <v>191</v>
      </c>
      <c r="V169" s="26" t="s">
        <v>191</v>
      </c>
      <c r="W169" s="111" t="s">
        <v>191</v>
      </c>
      <c r="X169" s="28" t="s">
        <v>191</v>
      </c>
      <c r="Y169" s="28" t="s">
        <v>191</v>
      </c>
      <c r="Z169" s="28" t="s">
        <v>191</v>
      </c>
      <c r="AA169" s="116">
        <v>0</v>
      </c>
      <c r="AB169" s="19">
        <v>0</v>
      </c>
      <c r="AC169" s="25">
        <v>0</v>
      </c>
      <c r="AD169" s="119">
        <v>0.2</v>
      </c>
      <c r="AE169" s="25">
        <v>0</v>
      </c>
      <c r="AF169" s="15">
        <v>0</v>
      </c>
      <c r="AG169" s="7">
        <f>G168</f>
        <v>16</v>
      </c>
      <c r="AH169" s="15">
        <v>0</v>
      </c>
      <c r="AI169" s="102" t="s">
        <v>191</v>
      </c>
      <c r="AJ169" s="99" t="s">
        <v>191</v>
      </c>
      <c r="AK169" s="99" t="s">
        <v>191</v>
      </c>
      <c r="AL169" s="8" t="s">
        <v>191</v>
      </c>
    </row>
    <row r="170" spans="1:38" s="4" customFormat="1" ht="97.5" customHeight="1" x14ac:dyDescent="0.25">
      <c r="A170" s="83" t="str">
        <f t="shared" si="39"/>
        <v>EG-XXXX-01-2</v>
      </c>
      <c r="B170" s="78" t="str">
        <f>B168</f>
        <v>EG</v>
      </c>
      <c r="C170" s="34" t="str">
        <f>C168</f>
        <v>XXXX</v>
      </c>
      <c r="D170" s="8" t="str">
        <f>D168</f>
        <v>Atrium</v>
      </c>
      <c r="E170" s="7" t="str">
        <f>E168</f>
        <v>01</v>
      </c>
      <c r="F170" s="7">
        <v>2</v>
      </c>
      <c r="G170" s="37" t="s">
        <v>191</v>
      </c>
      <c r="H170" s="36"/>
      <c r="I170" s="36" t="s">
        <v>191</v>
      </c>
      <c r="J170" s="36" t="s">
        <v>191</v>
      </c>
      <c r="K170" s="36" t="s">
        <v>191</v>
      </c>
      <c r="L170" s="36" t="s">
        <v>191</v>
      </c>
      <c r="M170" s="36" t="s">
        <v>191</v>
      </c>
      <c r="N170" s="37"/>
      <c r="O170" s="39" t="s">
        <v>191</v>
      </c>
      <c r="P170" s="36" t="s">
        <v>191</v>
      </c>
      <c r="Q170" s="16" t="s">
        <v>191</v>
      </c>
      <c r="R170" s="129" t="s">
        <v>193</v>
      </c>
      <c r="S170" s="129" t="s">
        <v>193</v>
      </c>
      <c r="T170" s="16" t="s">
        <v>191</v>
      </c>
      <c r="U170" s="109" t="s">
        <v>191</v>
      </c>
      <c r="V170" s="26" t="s">
        <v>191</v>
      </c>
      <c r="W170" s="111" t="s">
        <v>191</v>
      </c>
      <c r="X170" s="28" t="s">
        <v>191</v>
      </c>
      <c r="Y170" s="28" t="s">
        <v>191</v>
      </c>
      <c r="Z170" s="28" t="s">
        <v>191</v>
      </c>
      <c r="AA170" s="117">
        <v>0</v>
      </c>
      <c r="AB170" s="72">
        <v>0</v>
      </c>
      <c r="AC170" s="25">
        <v>0</v>
      </c>
      <c r="AD170" s="119">
        <v>0.2</v>
      </c>
      <c r="AE170" s="25">
        <v>0</v>
      </c>
      <c r="AF170" s="15">
        <v>0</v>
      </c>
      <c r="AG170" s="7">
        <f>G168</f>
        <v>16</v>
      </c>
      <c r="AH170" s="15">
        <v>0</v>
      </c>
      <c r="AI170" s="95" t="s">
        <v>191</v>
      </c>
      <c r="AJ170" s="99" t="s">
        <v>191</v>
      </c>
      <c r="AK170" s="16" t="s">
        <v>191</v>
      </c>
      <c r="AL170" s="8" t="s">
        <v>191</v>
      </c>
    </row>
    <row r="171" spans="1:38" s="4" customFormat="1" ht="14.25" customHeight="1" x14ac:dyDescent="0.25">
      <c r="A171" s="84"/>
      <c r="B171" s="79"/>
      <c r="C171" s="53"/>
      <c r="D171" s="56"/>
      <c r="E171" s="55"/>
      <c r="F171" s="55"/>
      <c r="G171" s="55"/>
      <c r="H171" s="53"/>
      <c r="I171" s="53"/>
      <c r="J171" s="53"/>
      <c r="K171" s="53"/>
      <c r="L171" s="53"/>
      <c r="M171" s="53"/>
      <c r="N171" s="55"/>
      <c r="O171" s="57"/>
      <c r="P171" s="53"/>
      <c r="Q171" s="63"/>
      <c r="R171" s="130"/>
      <c r="S171" s="130"/>
      <c r="T171" s="63"/>
      <c r="U171" s="63"/>
      <c r="V171" s="69"/>
      <c r="W171" s="69"/>
      <c r="X171" s="59"/>
      <c r="Y171" s="56"/>
      <c r="Z171" s="56"/>
      <c r="AA171" s="114"/>
      <c r="AB171" s="59"/>
      <c r="AC171" s="56"/>
      <c r="AD171" s="56"/>
      <c r="AE171" s="56"/>
      <c r="AF171" s="62"/>
      <c r="AG171" s="55"/>
      <c r="AH171" s="62"/>
      <c r="AI171" s="101"/>
      <c r="AJ171" s="100"/>
      <c r="AK171" s="63"/>
      <c r="AL171" s="56"/>
    </row>
    <row r="172" spans="1:38" s="4" customFormat="1" ht="97.5" customHeight="1" x14ac:dyDescent="0.25">
      <c r="A172" s="82" t="str">
        <f>CONCATENATE(B172,"-",C172,"-",E172,"-",F172)</f>
        <v>EG-XXXX-02-X</v>
      </c>
      <c r="B172" s="77" t="s">
        <v>319</v>
      </c>
      <c r="C172" s="45" t="s">
        <v>320</v>
      </c>
      <c r="D172" s="47" t="s">
        <v>328</v>
      </c>
      <c r="E172" s="88" t="s">
        <v>206</v>
      </c>
      <c r="F172" s="46" t="s">
        <v>182</v>
      </c>
      <c r="G172" s="46">
        <v>33</v>
      </c>
      <c r="H172" s="47" t="s">
        <v>279</v>
      </c>
      <c r="I172" s="35" t="s">
        <v>184</v>
      </c>
      <c r="J172" s="35" t="s">
        <v>329</v>
      </c>
      <c r="K172" s="35" t="s">
        <v>191</v>
      </c>
      <c r="L172" s="46" t="s">
        <v>280</v>
      </c>
      <c r="M172" s="35" t="s">
        <v>281</v>
      </c>
      <c r="N172" s="46" t="s">
        <v>189</v>
      </c>
      <c r="O172" s="48" t="s">
        <v>125</v>
      </c>
      <c r="P172" s="70" t="s">
        <v>330</v>
      </c>
      <c r="Q172" s="52" t="s">
        <v>191</v>
      </c>
      <c r="R172" s="128"/>
      <c r="S172" s="128"/>
      <c r="T172" s="52" t="s">
        <v>191</v>
      </c>
      <c r="U172" s="50" t="s">
        <v>191</v>
      </c>
      <c r="V172" s="71" t="s">
        <v>191</v>
      </c>
      <c r="W172" s="66" t="s">
        <v>191</v>
      </c>
      <c r="X172" s="50" t="s">
        <v>191</v>
      </c>
      <c r="Y172" s="38" t="s">
        <v>191</v>
      </c>
      <c r="Z172" s="38" t="s">
        <v>191</v>
      </c>
      <c r="AA172" s="115" t="s">
        <v>191</v>
      </c>
      <c r="AB172" s="66"/>
      <c r="AC172" s="66" t="s">
        <v>191</v>
      </c>
      <c r="AD172" s="66" t="s">
        <v>191</v>
      </c>
      <c r="AE172" s="66" t="s">
        <v>191</v>
      </c>
      <c r="AF172" s="66" t="s">
        <v>191</v>
      </c>
      <c r="AG172" s="66" t="s">
        <v>191</v>
      </c>
      <c r="AH172" s="66" t="s">
        <v>191</v>
      </c>
      <c r="AI172" s="93" t="s">
        <v>191</v>
      </c>
      <c r="AJ172" s="97" t="s">
        <v>191</v>
      </c>
      <c r="AK172" s="52" t="s">
        <v>191</v>
      </c>
      <c r="AL172" s="38" t="s">
        <v>191</v>
      </c>
    </row>
    <row r="173" spans="1:38" s="4" customFormat="1" ht="97.5" customHeight="1" x14ac:dyDescent="0.25">
      <c r="A173" s="83" t="str">
        <f t="shared" ref="A173:A174" si="40">CONCATENATE(B173,"-",C173,"-",E173,"-",F173)</f>
        <v>EG-XXXX-02-1</v>
      </c>
      <c r="B173" s="78" t="str">
        <f>B172</f>
        <v>EG</v>
      </c>
      <c r="C173" s="34" t="str">
        <f>C172</f>
        <v>XXXX</v>
      </c>
      <c r="D173" s="8" t="str">
        <f>D172</f>
        <v>Atrium</v>
      </c>
      <c r="E173" s="7" t="str">
        <f>E172</f>
        <v>02</v>
      </c>
      <c r="F173" s="7">
        <v>1</v>
      </c>
      <c r="G173" s="37" t="s">
        <v>191</v>
      </c>
      <c r="H173" s="36" t="s">
        <v>191</v>
      </c>
      <c r="I173" s="36" t="s">
        <v>191</v>
      </c>
      <c r="J173" s="36" t="s">
        <v>191</v>
      </c>
      <c r="K173" s="36" t="s">
        <v>191</v>
      </c>
      <c r="L173" s="36" t="s">
        <v>191</v>
      </c>
      <c r="M173" s="36" t="s">
        <v>191</v>
      </c>
      <c r="N173" s="37" t="s">
        <v>189</v>
      </c>
      <c r="O173" s="39" t="s">
        <v>191</v>
      </c>
      <c r="P173" s="36" t="s">
        <v>191</v>
      </c>
      <c r="Q173" s="16" t="s">
        <v>191</v>
      </c>
      <c r="R173" s="129" t="s">
        <v>193</v>
      </c>
      <c r="S173" s="129" t="s">
        <v>193</v>
      </c>
      <c r="T173" s="99" t="s">
        <v>191</v>
      </c>
      <c r="U173" s="109" t="s">
        <v>191</v>
      </c>
      <c r="V173" s="26" t="s">
        <v>191</v>
      </c>
      <c r="W173" s="111" t="s">
        <v>191</v>
      </c>
      <c r="X173" s="28" t="s">
        <v>191</v>
      </c>
      <c r="Y173" s="28" t="s">
        <v>191</v>
      </c>
      <c r="Z173" s="28" t="s">
        <v>191</v>
      </c>
      <c r="AA173" s="116">
        <v>0</v>
      </c>
      <c r="AB173" s="19">
        <v>0</v>
      </c>
      <c r="AC173" s="25">
        <v>0</v>
      </c>
      <c r="AD173" s="119">
        <v>0.2</v>
      </c>
      <c r="AE173" s="25">
        <v>0</v>
      </c>
      <c r="AF173" s="15">
        <v>0</v>
      </c>
      <c r="AG173" s="7">
        <f>G172</f>
        <v>33</v>
      </c>
      <c r="AH173" s="15">
        <v>0</v>
      </c>
      <c r="AI173" s="102" t="s">
        <v>191</v>
      </c>
      <c r="AJ173" s="99" t="s">
        <v>191</v>
      </c>
      <c r="AK173" s="99" t="s">
        <v>191</v>
      </c>
      <c r="AL173" s="8" t="s">
        <v>191</v>
      </c>
    </row>
    <row r="174" spans="1:38" s="4" customFormat="1" ht="97.5" customHeight="1" x14ac:dyDescent="0.25">
      <c r="A174" s="83" t="str">
        <f t="shared" si="40"/>
        <v>EG-XXXX-02-2</v>
      </c>
      <c r="B174" s="78" t="str">
        <f>B172</f>
        <v>EG</v>
      </c>
      <c r="C174" s="34" t="str">
        <f>C172</f>
        <v>XXXX</v>
      </c>
      <c r="D174" s="8" t="str">
        <f>D172</f>
        <v>Atrium</v>
      </c>
      <c r="E174" s="7" t="str">
        <f>E172</f>
        <v>02</v>
      </c>
      <c r="F174" s="7">
        <v>2</v>
      </c>
      <c r="G174" s="37" t="s">
        <v>191</v>
      </c>
      <c r="H174" s="36"/>
      <c r="I174" s="36" t="s">
        <v>191</v>
      </c>
      <c r="J174" s="36" t="s">
        <v>191</v>
      </c>
      <c r="K174" s="36" t="s">
        <v>191</v>
      </c>
      <c r="L174" s="36" t="s">
        <v>191</v>
      </c>
      <c r="M174" s="36" t="s">
        <v>191</v>
      </c>
      <c r="N174" s="37"/>
      <c r="O174" s="39" t="s">
        <v>191</v>
      </c>
      <c r="P174" s="36" t="s">
        <v>191</v>
      </c>
      <c r="Q174" s="16" t="s">
        <v>191</v>
      </c>
      <c r="R174" s="129" t="s">
        <v>193</v>
      </c>
      <c r="S174" s="129" t="s">
        <v>193</v>
      </c>
      <c r="T174" s="16" t="s">
        <v>191</v>
      </c>
      <c r="U174" s="109" t="s">
        <v>191</v>
      </c>
      <c r="V174" s="26" t="s">
        <v>191</v>
      </c>
      <c r="W174" s="111" t="s">
        <v>191</v>
      </c>
      <c r="X174" s="28" t="s">
        <v>191</v>
      </c>
      <c r="Y174" s="28" t="s">
        <v>191</v>
      </c>
      <c r="Z174" s="28" t="s">
        <v>191</v>
      </c>
      <c r="AA174" s="117">
        <v>0</v>
      </c>
      <c r="AB174" s="72">
        <v>0</v>
      </c>
      <c r="AC174" s="25">
        <v>0</v>
      </c>
      <c r="AD174" s="119">
        <v>0.2</v>
      </c>
      <c r="AE174" s="25">
        <v>0</v>
      </c>
      <c r="AF174" s="15">
        <v>0</v>
      </c>
      <c r="AG174" s="7">
        <f>G172</f>
        <v>33</v>
      </c>
      <c r="AH174" s="15">
        <v>0</v>
      </c>
      <c r="AI174" s="95" t="s">
        <v>191</v>
      </c>
      <c r="AJ174" s="99" t="s">
        <v>191</v>
      </c>
      <c r="AK174" s="16" t="s">
        <v>191</v>
      </c>
      <c r="AL174" s="8" t="s">
        <v>191</v>
      </c>
    </row>
    <row r="175" spans="1:38" s="4" customFormat="1" ht="14.25" customHeight="1" x14ac:dyDescent="0.25">
      <c r="A175" s="84"/>
      <c r="B175" s="79"/>
      <c r="C175" s="53"/>
      <c r="D175" s="56"/>
      <c r="E175" s="55"/>
      <c r="F175" s="55"/>
      <c r="G175" s="55"/>
      <c r="H175" s="53"/>
      <c r="I175" s="53"/>
      <c r="J175" s="53"/>
      <c r="K175" s="53"/>
      <c r="L175" s="53"/>
      <c r="M175" s="53"/>
      <c r="N175" s="55"/>
      <c r="O175" s="57"/>
      <c r="P175" s="53"/>
      <c r="Q175" s="63"/>
      <c r="R175" s="130"/>
      <c r="S175" s="130"/>
      <c r="T175" s="63"/>
      <c r="U175" s="63"/>
      <c r="V175" s="69"/>
      <c r="W175" s="69"/>
      <c r="X175" s="59"/>
      <c r="Y175" s="56"/>
      <c r="Z175" s="56"/>
      <c r="AA175" s="114"/>
      <c r="AB175" s="59"/>
      <c r="AC175" s="56"/>
      <c r="AD175" s="56"/>
      <c r="AE175" s="56"/>
      <c r="AF175" s="62"/>
      <c r="AG175" s="55"/>
      <c r="AH175" s="62"/>
      <c r="AI175" s="101"/>
      <c r="AJ175" s="100"/>
      <c r="AK175" s="63"/>
      <c r="AL175" s="56"/>
    </row>
    <row r="176" spans="1:38" s="4" customFormat="1" ht="97.5" customHeight="1" x14ac:dyDescent="0.25">
      <c r="A176" s="82" t="str">
        <f>CONCATENATE(B176,"-",C176,"-",E176,"-",F176)</f>
        <v>EG-XXXX-03-X</v>
      </c>
      <c r="B176" s="77" t="s">
        <v>319</v>
      </c>
      <c r="C176" s="45" t="s">
        <v>320</v>
      </c>
      <c r="D176" s="47" t="s">
        <v>331</v>
      </c>
      <c r="E176" s="88" t="s">
        <v>239</v>
      </c>
      <c r="F176" s="46" t="s">
        <v>182</v>
      </c>
      <c r="G176" s="46">
        <v>1</v>
      </c>
      <c r="H176" s="47" t="s">
        <v>279</v>
      </c>
      <c r="I176" s="35" t="s">
        <v>184</v>
      </c>
      <c r="J176" s="35" t="s">
        <v>329</v>
      </c>
      <c r="K176" s="35" t="s">
        <v>219</v>
      </c>
      <c r="L176" s="46" t="s">
        <v>280</v>
      </c>
      <c r="M176" s="35" t="s">
        <v>281</v>
      </c>
      <c r="N176" s="46" t="s">
        <v>189</v>
      </c>
      <c r="O176" s="48" t="s">
        <v>125</v>
      </c>
      <c r="P176" s="70" t="s">
        <v>332</v>
      </c>
      <c r="Q176" s="52" t="s">
        <v>191</v>
      </c>
      <c r="R176" s="128"/>
      <c r="S176" s="128"/>
      <c r="T176" s="52" t="s">
        <v>191</v>
      </c>
      <c r="U176" s="50" t="s">
        <v>191</v>
      </c>
      <c r="V176" s="71" t="s">
        <v>191</v>
      </c>
      <c r="W176" s="66" t="s">
        <v>191</v>
      </c>
      <c r="X176" s="50" t="s">
        <v>191</v>
      </c>
      <c r="Y176" s="38" t="s">
        <v>191</v>
      </c>
      <c r="Z176" s="38" t="s">
        <v>191</v>
      </c>
      <c r="AA176" s="115" t="s">
        <v>191</v>
      </c>
      <c r="AB176" s="66"/>
      <c r="AC176" s="66" t="s">
        <v>191</v>
      </c>
      <c r="AD176" s="66" t="s">
        <v>191</v>
      </c>
      <c r="AE176" s="66" t="s">
        <v>191</v>
      </c>
      <c r="AF176" s="66" t="s">
        <v>191</v>
      </c>
      <c r="AG176" s="66" t="s">
        <v>191</v>
      </c>
      <c r="AH176" s="66" t="s">
        <v>191</v>
      </c>
      <c r="AI176" s="93" t="s">
        <v>191</v>
      </c>
      <c r="AJ176" s="97" t="s">
        <v>191</v>
      </c>
      <c r="AK176" s="52" t="s">
        <v>191</v>
      </c>
      <c r="AL176" s="38" t="s">
        <v>191</v>
      </c>
    </row>
    <row r="177" spans="1:38" s="4" customFormat="1" ht="97.5" customHeight="1" x14ac:dyDescent="0.25">
      <c r="A177" s="83" t="str">
        <f t="shared" ref="A177:A178" si="41">CONCATENATE(B177,"-",C177,"-",E177,"-",F177)</f>
        <v>EG-XXXX-03-1</v>
      </c>
      <c r="B177" s="78" t="str">
        <f>B176</f>
        <v>EG</v>
      </c>
      <c r="C177" s="34" t="str">
        <f>C176</f>
        <v>XXXX</v>
      </c>
      <c r="D177" s="8" t="str">
        <f>D176</f>
        <v>Atrium Regie</v>
      </c>
      <c r="E177" s="7" t="str">
        <f>E176</f>
        <v>03</v>
      </c>
      <c r="F177" s="7">
        <v>1</v>
      </c>
      <c r="G177" s="37" t="s">
        <v>191</v>
      </c>
      <c r="H177" s="36" t="s">
        <v>191</v>
      </c>
      <c r="I177" s="36" t="s">
        <v>191</v>
      </c>
      <c r="J177" s="36" t="s">
        <v>191</v>
      </c>
      <c r="K177" s="36" t="s">
        <v>191</v>
      </c>
      <c r="L177" s="36" t="s">
        <v>191</v>
      </c>
      <c r="M177" s="36" t="s">
        <v>191</v>
      </c>
      <c r="N177" s="37" t="s">
        <v>189</v>
      </c>
      <c r="O177" s="39" t="s">
        <v>191</v>
      </c>
      <c r="P177" s="36" t="s">
        <v>191</v>
      </c>
      <c r="Q177" s="16" t="s">
        <v>191</v>
      </c>
      <c r="R177" s="129" t="s">
        <v>193</v>
      </c>
      <c r="S177" s="129" t="s">
        <v>193</v>
      </c>
      <c r="T177" s="99" t="s">
        <v>191</v>
      </c>
      <c r="U177" s="109" t="s">
        <v>191</v>
      </c>
      <c r="V177" s="26" t="s">
        <v>191</v>
      </c>
      <c r="W177" s="111" t="s">
        <v>191</v>
      </c>
      <c r="X177" s="28" t="s">
        <v>191</v>
      </c>
      <c r="Y177" s="28" t="s">
        <v>191</v>
      </c>
      <c r="Z177" s="28" t="s">
        <v>191</v>
      </c>
      <c r="AA177" s="116">
        <v>0</v>
      </c>
      <c r="AB177" s="19">
        <v>0</v>
      </c>
      <c r="AC177" s="25">
        <v>0</v>
      </c>
      <c r="AD177" s="119">
        <v>0.2</v>
      </c>
      <c r="AE177" s="25">
        <v>0</v>
      </c>
      <c r="AF177" s="15">
        <v>0</v>
      </c>
      <c r="AG177" s="7">
        <f>G176</f>
        <v>1</v>
      </c>
      <c r="AH177" s="15">
        <v>0</v>
      </c>
      <c r="AI177" s="102" t="s">
        <v>191</v>
      </c>
      <c r="AJ177" s="99" t="s">
        <v>191</v>
      </c>
      <c r="AK177" s="99" t="s">
        <v>191</v>
      </c>
      <c r="AL177" s="8" t="s">
        <v>191</v>
      </c>
    </row>
    <row r="178" spans="1:38" s="4" customFormat="1" ht="97.5" customHeight="1" x14ac:dyDescent="0.25">
      <c r="A178" s="83" t="str">
        <f t="shared" si="41"/>
        <v>EG-XXXX-03-2</v>
      </c>
      <c r="B178" s="78" t="str">
        <f>B176</f>
        <v>EG</v>
      </c>
      <c r="C178" s="34" t="str">
        <f>C176</f>
        <v>XXXX</v>
      </c>
      <c r="D178" s="8" t="str">
        <f>D176</f>
        <v>Atrium Regie</v>
      </c>
      <c r="E178" s="7" t="str">
        <f>E176</f>
        <v>03</v>
      </c>
      <c r="F178" s="7">
        <v>2</v>
      </c>
      <c r="G178" s="37" t="s">
        <v>191</v>
      </c>
      <c r="H178" s="36"/>
      <c r="I178" s="36" t="s">
        <v>191</v>
      </c>
      <c r="J178" s="36" t="s">
        <v>191</v>
      </c>
      <c r="K178" s="36" t="s">
        <v>191</v>
      </c>
      <c r="L178" s="36" t="s">
        <v>191</v>
      </c>
      <c r="M178" s="36" t="s">
        <v>191</v>
      </c>
      <c r="N178" s="37"/>
      <c r="O178" s="39" t="s">
        <v>191</v>
      </c>
      <c r="P178" s="36" t="s">
        <v>191</v>
      </c>
      <c r="Q178" s="16" t="s">
        <v>191</v>
      </c>
      <c r="R178" s="129" t="s">
        <v>193</v>
      </c>
      <c r="S178" s="129" t="s">
        <v>193</v>
      </c>
      <c r="T178" s="16" t="s">
        <v>191</v>
      </c>
      <c r="U178" s="109" t="s">
        <v>191</v>
      </c>
      <c r="V178" s="26" t="s">
        <v>191</v>
      </c>
      <c r="W178" s="111" t="s">
        <v>191</v>
      </c>
      <c r="X178" s="28" t="s">
        <v>191</v>
      </c>
      <c r="Y178" s="28" t="s">
        <v>191</v>
      </c>
      <c r="Z178" s="28" t="s">
        <v>191</v>
      </c>
      <c r="AA178" s="117">
        <v>0</v>
      </c>
      <c r="AB178" s="72">
        <v>0</v>
      </c>
      <c r="AC178" s="25">
        <v>0</v>
      </c>
      <c r="AD178" s="119">
        <v>0.2</v>
      </c>
      <c r="AE178" s="25">
        <v>0</v>
      </c>
      <c r="AF178" s="15">
        <v>0</v>
      </c>
      <c r="AG178" s="7">
        <f>G176</f>
        <v>1</v>
      </c>
      <c r="AH178" s="15">
        <v>0</v>
      </c>
      <c r="AI178" s="95" t="s">
        <v>191</v>
      </c>
      <c r="AJ178" s="99" t="s">
        <v>191</v>
      </c>
      <c r="AK178" s="16" t="s">
        <v>191</v>
      </c>
      <c r="AL178" s="8" t="s">
        <v>191</v>
      </c>
    </row>
    <row r="179" spans="1:38" s="4" customFormat="1" ht="14.25" customHeight="1" x14ac:dyDescent="0.25">
      <c r="A179" s="84"/>
      <c r="B179" s="79"/>
      <c r="C179" s="53"/>
      <c r="D179" s="56"/>
      <c r="E179" s="55"/>
      <c r="F179" s="55"/>
      <c r="G179" s="55"/>
      <c r="H179" s="53"/>
      <c r="I179" s="53"/>
      <c r="J179" s="53"/>
      <c r="K179" s="53"/>
      <c r="L179" s="53"/>
      <c r="M179" s="53"/>
      <c r="N179" s="55"/>
      <c r="O179" s="57"/>
      <c r="P179" s="53"/>
      <c r="Q179" s="63"/>
      <c r="R179" s="130"/>
      <c r="S179" s="130"/>
      <c r="T179" s="63"/>
      <c r="U179" s="63"/>
      <c r="V179" s="69"/>
      <c r="W179" s="69"/>
      <c r="X179" s="59"/>
      <c r="Y179" s="56"/>
      <c r="Z179" s="56"/>
      <c r="AA179" s="114"/>
      <c r="AB179" s="59"/>
      <c r="AC179" s="56"/>
      <c r="AD179" s="56"/>
      <c r="AE179" s="56"/>
      <c r="AF179" s="62"/>
      <c r="AG179" s="55"/>
      <c r="AH179" s="62"/>
      <c r="AI179" s="101"/>
      <c r="AJ179" s="100"/>
      <c r="AK179" s="63"/>
      <c r="AL179" s="56"/>
    </row>
    <row r="180" spans="1:38" s="4" customFormat="1" ht="97.5" customHeight="1" x14ac:dyDescent="0.25">
      <c r="A180" s="82" t="str">
        <f>CONCATENATE(B180,"-",C180,"-",E180,"-",F180)</f>
        <v>EG-XXXX-04-X</v>
      </c>
      <c r="B180" s="77" t="s">
        <v>319</v>
      </c>
      <c r="C180" s="45" t="s">
        <v>320</v>
      </c>
      <c r="D180" s="47" t="s">
        <v>333</v>
      </c>
      <c r="E180" s="88" t="s">
        <v>283</v>
      </c>
      <c r="F180" s="46" t="s">
        <v>182</v>
      </c>
      <c r="G180" s="46">
        <v>15</v>
      </c>
      <c r="H180" s="47" t="s">
        <v>273</v>
      </c>
      <c r="I180" s="35" t="s">
        <v>184</v>
      </c>
      <c r="J180" s="35" t="s">
        <v>241</v>
      </c>
      <c r="K180" s="35" t="s">
        <v>219</v>
      </c>
      <c r="L180" s="46" t="s">
        <v>274</v>
      </c>
      <c r="M180" s="35" t="s">
        <v>221</v>
      </c>
      <c r="N180" s="46" t="s">
        <v>189</v>
      </c>
      <c r="O180" s="48" t="s">
        <v>130</v>
      </c>
      <c r="P180" s="70" t="s">
        <v>191</v>
      </c>
      <c r="Q180" s="52" t="s">
        <v>191</v>
      </c>
      <c r="R180" s="128"/>
      <c r="S180" s="128"/>
      <c r="T180" s="52" t="s">
        <v>191</v>
      </c>
      <c r="U180" s="50" t="s">
        <v>191</v>
      </c>
      <c r="V180" s="71" t="s">
        <v>191</v>
      </c>
      <c r="W180" s="66" t="s">
        <v>191</v>
      </c>
      <c r="X180" s="50" t="s">
        <v>191</v>
      </c>
      <c r="Y180" s="38" t="s">
        <v>191</v>
      </c>
      <c r="Z180" s="38" t="s">
        <v>191</v>
      </c>
      <c r="AA180" s="115" t="s">
        <v>191</v>
      </c>
      <c r="AB180" s="66"/>
      <c r="AC180" s="66" t="s">
        <v>191</v>
      </c>
      <c r="AD180" s="66" t="s">
        <v>191</v>
      </c>
      <c r="AE180" s="66" t="s">
        <v>191</v>
      </c>
      <c r="AF180" s="66" t="s">
        <v>191</v>
      </c>
      <c r="AG180" s="66" t="s">
        <v>191</v>
      </c>
      <c r="AH180" s="66" t="s">
        <v>191</v>
      </c>
      <c r="AI180" s="93" t="s">
        <v>191</v>
      </c>
      <c r="AJ180" s="97" t="s">
        <v>191</v>
      </c>
      <c r="AK180" s="52" t="s">
        <v>191</v>
      </c>
      <c r="AL180" s="38" t="s">
        <v>191</v>
      </c>
    </row>
    <row r="181" spans="1:38" s="4" customFormat="1" ht="97.5" customHeight="1" x14ac:dyDescent="0.25">
      <c r="A181" s="83" t="str">
        <f t="shared" ref="A181:A182" si="42">CONCATENATE(B181,"-",C181,"-",E181,"-",F181)</f>
        <v>EG-XXXX-04-1</v>
      </c>
      <c r="B181" s="78" t="str">
        <f>B180</f>
        <v>EG</v>
      </c>
      <c r="C181" s="34" t="str">
        <f>C180</f>
        <v>XXXX</v>
      </c>
      <c r="D181" s="8" t="str">
        <f>D180</f>
        <v>Atrium Vorraum</v>
      </c>
      <c r="E181" s="7" t="str">
        <f>E180</f>
        <v>04</v>
      </c>
      <c r="F181" s="7">
        <v>1</v>
      </c>
      <c r="G181" s="37" t="s">
        <v>191</v>
      </c>
      <c r="H181" s="36" t="s">
        <v>191</v>
      </c>
      <c r="I181" s="36" t="s">
        <v>191</v>
      </c>
      <c r="J181" s="36" t="s">
        <v>191</v>
      </c>
      <c r="K181" s="36" t="s">
        <v>191</v>
      </c>
      <c r="L181" s="36" t="s">
        <v>191</v>
      </c>
      <c r="M181" s="36" t="s">
        <v>191</v>
      </c>
      <c r="N181" s="37" t="s">
        <v>189</v>
      </c>
      <c r="O181" s="39" t="s">
        <v>191</v>
      </c>
      <c r="P181" s="36" t="s">
        <v>191</v>
      </c>
      <c r="Q181" s="16" t="s">
        <v>191</v>
      </c>
      <c r="R181" s="129" t="s">
        <v>193</v>
      </c>
      <c r="S181" s="129" t="s">
        <v>193</v>
      </c>
      <c r="T181" s="99" t="s">
        <v>191</v>
      </c>
      <c r="U181" s="109" t="s">
        <v>191</v>
      </c>
      <c r="V181" s="26" t="s">
        <v>191</v>
      </c>
      <c r="W181" s="111" t="s">
        <v>191</v>
      </c>
      <c r="X181" s="28" t="s">
        <v>191</v>
      </c>
      <c r="Y181" s="28" t="s">
        <v>191</v>
      </c>
      <c r="Z181" s="28" t="s">
        <v>191</v>
      </c>
      <c r="AA181" s="116">
        <v>0</v>
      </c>
      <c r="AB181" s="19">
        <v>0</v>
      </c>
      <c r="AC181" s="25">
        <v>0</v>
      </c>
      <c r="AD181" s="119">
        <v>0.2</v>
      </c>
      <c r="AE181" s="25">
        <v>0</v>
      </c>
      <c r="AF181" s="15">
        <v>0</v>
      </c>
      <c r="AG181" s="7">
        <f>G180</f>
        <v>15</v>
      </c>
      <c r="AH181" s="15">
        <v>0</v>
      </c>
      <c r="AI181" s="102" t="s">
        <v>191</v>
      </c>
      <c r="AJ181" s="99" t="s">
        <v>191</v>
      </c>
      <c r="AK181" s="99" t="s">
        <v>191</v>
      </c>
      <c r="AL181" s="8" t="s">
        <v>191</v>
      </c>
    </row>
    <row r="182" spans="1:38" s="4" customFormat="1" ht="97.5" customHeight="1" x14ac:dyDescent="0.25">
      <c r="A182" s="83" t="str">
        <f t="shared" si="42"/>
        <v>EG-XXXX-04-2</v>
      </c>
      <c r="B182" s="78" t="str">
        <f>B180</f>
        <v>EG</v>
      </c>
      <c r="C182" s="34" t="str">
        <f>C180</f>
        <v>XXXX</v>
      </c>
      <c r="D182" s="8" t="str">
        <f>D180</f>
        <v>Atrium Vorraum</v>
      </c>
      <c r="E182" s="7" t="str">
        <f>E180</f>
        <v>04</v>
      </c>
      <c r="F182" s="7">
        <v>2</v>
      </c>
      <c r="G182" s="37" t="s">
        <v>191</v>
      </c>
      <c r="H182" s="36"/>
      <c r="I182" s="36" t="s">
        <v>191</v>
      </c>
      <c r="J182" s="36" t="s">
        <v>191</v>
      </c>
      <c r="K182" s="36" t="s">
        <v>191</v>
      </c>
      <c r="L182" s="36" t="s">
        <v>191</v>
      </c>
      <c r="M182" s="36" t="s">
        <v>191</v>
      </c>
      <c r="N182" s="37"/>
      <c r="O182" s="39" t="s">
        <v>191</v>
      </c>
      <c r="P182" s="36" t="s">
        <v>191</v>
      </c>
      <c r="Q182" s="16" t="s">
        <v>191</v>
      </c>
      <c r="R182" s="129" t="s">
        <v>193</v>
      </c>
      <c r="S182" s="129" t="s">
        <v>193</v>
      </c>
      <c r="T182" s="16" t="s">
        <v>191</v>
      </c>
      <c r="U182" s="109" t="s">
        <v>191</v>
      </c>
      <c r="V182" s="26" t="s">
        <v>191</v>
      </c>
      <c r="W182" s="111" t="s">
        <v>191</v>
      </c>
      <c r="X182" s="28" t="s">
        <v>191</v>
      </c>
      <c r="Y182" s="28" t="s">
        <v>191</v>
      </c>
      <c r="Z182" s="28" t="s">
        <v>191</v>
      </c>
      <c r="AA182" s="117">
        <v>0</v>
      </c>
      <c r="AB182" s="72">
        <v>0</v>
      </c>
      <c r="AC182" s="25">
        <v>0</v>
      </c>
      <c r="AD182" s="119">
        <v>0.2</v>
      </c>
      <c r="AE182" s="25">
        <v>0</v>
      </c>
      <c r="AF182" s="15">
        <v>0</v>
      </c>
      <c r="AG182" s="7">
        <f>G180</f>
        <v>15</v>
      </c>
      <c r="AH182" s="15">
        <v>0</v>
      </c>
      <c r="AI182" s="95" t="s">
        <v>191</v>
      </c>
      <c r="AJ182" s="99" t="s">
        <v>191</v>
      </c>
      <c r="AK182" s="16" t="s">
        <v>191</v>
      </c>
      <c r="AL182" s="8" t="s">
        <v>191</v>
      </c>
    </row>
    <row r="183" spans="1:38" s="4" customFormat="1" ht="14.25" customHeight="1" x14ac:dyDescent="0.25">
      <c r="A183" s="84"/>
      <c r="B183" s="79"/>
      <c r="C183" s="53"/>
      <c r="D183" s="56"/>
      <c r="E183" s="55"/>
      <c r="F183" s="55"/>
      <c r="G183" s="55"/>
      <c r="H183" s="53"/>
      <c r="I183" s="53"/>
      <c r="J183" s="53"/>
      <c r="K183" s="53"/>
      <c r="L183" s="53"/>
      <c r="M183" s="53"/>
      <c r="N183" s="55"/>
      <c r="O183" s="57"/>
      <c r="P183" s="53"/>
      <c r="Q183" s="63"/>
      <c r="R183" s="130"/>
      <c r="S183" s="130"/>
      <c r="T183" s="63"/>
      <c r="U183" s="63"/>
      <c r="V183" s="69"/>
      <c r="W183" s="69"/>
      <c r="X183" s="59"/>
      <c r="Y183" s="56"/>
      <c r="Z183" s="56"/>
      <c r="AA183" s="114"/>
      <c r="AB183" s="59"/>
      <c r="AC183" s="56"/>
      <c r="AD183" s="56"/>
      <c r="AE183" s="56"/>
      <c r="AF183" s="62"/>
      <c r="AG183" s="55"/>
      <c r="AH183" s="62"/>
      <c r="AI183" s="101"/>
      <c r="AJ183" s="100"/>
      <c r="AK183" s="63"/>
      <c r="AL183" s="56"/>
    </row>
    <row r="184" spans="1:38" s="4" customFormat="1" ht="97.5" customHeight="1" x14ac:dyDescent="0.25">
      <c r="A184" s="82" t="str">
        <f>CONCATENATE(B184,"-",C184,"-",E184,"-",F184)</f>
        <v>EG-XXXX-01-X</v>
      </c>
      <c r="B184" s="77" t="s">
        <v>319</v>
      </c>
      <c r="C184" s="45" t="s">
        <v>320</v>
      </c>
      <c r="D184" s="47" t="s">
        <v>334</v>
      </c>
      <c r="E184" s="88" t="s">
        <v>181</v>
      </c>
      <c r="F184" s="46" t="s">
        <v>182</v>
      </c>
      <c r="G184" s="46">
        <v>16</v>
      </c>
      <c r="H184" s="47" t="s">
        <v>273</v>
      </c>
      <c r="I184" s="35" t="s">
        <v>184</v>
      </c>
      <c r="J184" s="35" t="s">
        <v>241</v>
      </c>
      <c r="K184" s="35" t="s">
        <v>219</v>
      </c>
      <c r="L184" s="46" t="s">
        <v>274</v>
      </c>
      <c r="M184" s="35" t="s">
        <v>221</v>
      </c>
      <c r="N184" s="46" t="s">
        <v>189</v>
      </c>
      <c r="O184" s="48" t="s">
        <v>130</v>
      </c>
      <c r="P184" s="70" t="s">
        <v>191</v>
      </c>
      <c r="Q184" s="52" t="s">
        <v>191</v>
      </c>
      <c r="R184" s="128"/>
      <c r="S184" s="128"/>
      <c r="T184" s="52" t="s">
        <v>191</v>
      </c>
      <c r="U184" s="50" t="s">
        <v>191</v>
      </c>
      <c r="V184" s="71" t="s">
        <v>191</v>
      </c>
      <c r="W184" s="66" t="s">
        <v>191</v>
      </c>
      <c r="X184" s="50" t="s">
        <v>191</v>
      </c>
      <c r="Y184" s="38" t="s">
        <v>191</v>
      </c>
      <c r="Z184" s="38" t="s">
        <v>191</v>
      </c>
      <c r="AA184" s="115" t="s">
        <v>191</v>
      </c>
      <c r="AB184" s="66"/>
      <c r="AC184" s="66" t="s">
        <v>191</v>
      </c>
      <c r="AD184" s="66" t="s">
        <v>191</v>
      </c>
      <c r="AE184" s="66" t="s">
        <v>191</v>
      </c>
      <c r="AF184" s="66" t="s">
        <v>191</v>
      </c>
      <c r="AG184" s="66" t="s">
        <v>191</v>
      </c>
      <c r="AH184" s="66" t="s">
        <v>191</v>
      </c>
      <c r="AI184" s="93" t="s">
        <v>191</v>
      </c>
      <c r="AJ184" s="97" t="s">
        <v>191</v>
      </c>
      <c r="AK184" s="52" t="s">
        <v>191</v>
      </c>
      <c r="AL184" s="38" t="s">
        <v>191</v>
      </c>
    </row>
    <row r="185" spans="1:38" s="4" customFormat="1" ht="97.5" customHeight="1" x14ac:dyDescent="0.25">
      <c r="A185" s="83" t="str">
        <f t="shared" ref="A185:A186" si="43">CONCATENATE(B185,"-",C185,"-",E185,"-",F185)</f>
        <v>EG-XXXX-01-1</v>
      </c>
      <c r="B185" s="78" t="str">
        <f>B184</f>
        <v>EG</v>
      </c>
      <c r="C185" s="34" t="str">
        <f>C184</f>
        <v>XXXX</v>
      </c>
      <c r="D185" s="8" t="str">
        <f>D184</f>
        <v>Kantine</v>
      </c>
      <c r="E185" s="7" t="str">
        <f>E184</f>
        <v>01</v>
      </c>
      <c r="F185" s="7">
        <v>1</v>
      </c>
      <c r="G185" s="37" t="s">
        <v>191</v>
      </c>
      <c r="H185" s="36" t="s">
        <v>191</v>
      </c>
      <c r="I185" s="36" t="s">
        <v>191</v>
      </c>
      <c r="J185" s="36" t="s">
        <v>191</v>
      </c>
      <c r="K185" s="36" t="s">
        <v>191</v>
      </c>
      <c r="L185" s="36" t="s">
        <v>191</v>
      </c>
      <c r="M185" s="36" t="s">
        <v>191</v>
      </c>
      <c r="N185" s="37" t="s">
        <v>189</v>
      </c>
      <c r="O185" s="39" t="s">
        <v>191</v>
      </c>
      <c r="P185" s="36" t="s">
        <v>191</v>
      </c>
      <c r="Q185" s="16" t="s">
        <v>191</v>
      </c>
      <c r="R185" s="129" t="s">
        <v>193</v>
      </c>
      <c r="S185" s="129" t="s">
        <v>193</v>
      </c>
      <c r="T185" s="99" t="s">
        <v>191</v>
      </c>
      <c r="U185" s="109" t="s">
        <v>191</v>
      </c>
      <c r="V185" s="26" t="s">
        <v>191</v>
      </c>
      <c r="W185" s="111" t="s">
        <v>191</v>
      </c>
      <c r="X185" s="28" t="s">
        <v>191</v>
      </c>
      <c r="Y185" s="28" t="s">
        <v>191</v>
      </c>
      <c r="Z185" s="28" t="s">
        <v>191</v>
      </c>
      <c r="AA185" s="116">
        <v>0</v>
      </c>
      <c r="AB185" s="19">
        <v>0</v>
      </c>
      <c r="AC185" s="25">
        <v>0</v>
      </c>
      <c r="AD185" s="119">
        <v>0.2</v>
      </c>
      <c r="AE185" s="25">
        <v>0</v>
      </c>
      <c r="AF185" s="15">
        <v>0</v>
      </c>
      <c r="AG185" s="7">
        <f>G184</f>
        <v>16</v>
      </c>
      <c r="AH185" s="15">
        <v>0</v>
      </c>
      <c r="AI185" s="102" t="s">
        <v>191</v>
      </c>
      <c r="AJ185" s="99" t="s">
        <v>191</v>
      </c>
      <c r="AK185" s="99" t="s">
        <v>191</v>
      </c>
      <c r="AL185" s="8" t="s">
        <v>191</v>
      </c>
    </row>
    <row r="186" spans="1:38" s="4" customFormat="1" ht="97.5" customHeight="1" x14ac:dyDescent="0.25">
      <c r="A186" s="83" t="str">
        <f t="shared" si="43"/>
        <v>EG-XXXX-01-2</v>
      </c>
      <c r="B186" s="78" t="str">
        <f>B184</f>
        <v>EG</v>
      </c>
      <c r="C186" s="34" t="str">
        <f>C184</f>
        <v>XXXX</v>
      </c>
      <c r="D186" s="8" t="str">
        <f>D184</f>
        <v>Kantine</v>
      </c>
      <c r="E186" s="7" t="str">
        <f>E184</f>
        <v>01</v>
      </c>
      <c r="F186" s="7">
        <v>2</v>
      </c>
      <c r="G186" s="37" t="s">
        <v>191</v>
      </c>
      <c r="H186" s="36"/>
      <c r="I186" s="36" t="s">
        <v>191</v>
      </c>
      <c r="J186" s="36" t="s">
        <v>191</v>
      </c>
      <c r="K186" s="36" t="s">
        <v>191</v>
      </c>
      <c r="L186" s="36" t="s">
        <v>191</v>
      </c>
      <c r="M186" s="36" t="s">
        <v>191</v>
      </c>
      <c r="N186" s="37"/>
      <c r="O186" s="39" t="s">
        <v>191</v>
      </c>
      <c r="P186" s="36" t="s">
        <v>191</v>
      </c>
      <c r="Q186" s="16" t="s">
        <v>191</v>
      </c>
      <c r="R186" s="129" t="s">
        <v>193</v>
      </c>
      <c r="S186" s="129" t="s">
        <v>193</v>
      </c>
      <c r="T186" s="16" t="s">
        <v>191</v>
      </c>
      <c r="U186" s="109" t="s">
        <v>191</v>
      </c>
      <c r="V186" s="26" t="s">
        <v>191</v>
      </c>
      <c r="W186" s="111" t="s">
        <v>191</v>
      </c>
      <c r="X186" s="28" t="s">
        <v>191</v>
      </c>
      <c r="Y186" s="28" t="s">
        <v>191</v>
      </c>
      <c r="Z186" s="28" t="s">
        <v>191</v>
      </c>
      <c r="AA186" s="117">
        <v>0</v>
      </c>
      <c r="AB186" s="72">
        <v>0</v>
      </c>
      <c r="AC186" s="25">
        <v>0</v>
      </c>
      <c r="AD186" s="119">
        <v>0.2</v>
      </c>
      <c r="AE186" s="25">
        <v>0</v>
      </c>
      <c r="AF186" s="15">
        <v>0</v>
      </c>
      <c r="AG186" s="7">
        <f>G184</f>
        <v>16</v>
      </c>
      <c r="AH186" s="15">
        <v>0</v>
      </c>
      <c r="AI186" s="95" t="s">
        <v>191</v>
      </c>
      <c r="AJ186" s="99" t="s">
        <v>191</v>
      </c>
      <c r="AK186" s="16" t="s">
        <v>191</v>
      </c>
      <c r="AL186" s="8" t="s">
        <v>191</v>
      </c>
    </row>
    <row r="187" spans="1:38" s="4" customFormat="1" ht="14.25" customHeight="1" x14ac:dyDescent="0.25">
      <c r="A187" s="84"/>
      <c r="B187" s="79"/>
      <c r="C187" s="53"/>
      <c r="D187" s="56"/>
      <c r="E187" s="55"/>
      <c r="F187" s="55"/>
      <c r="G187" s="55"/>
      <c r="H187" s="53"/>
      <c r="I187" s="53"/>
      <c r="J187" s="53"/>
      <c r="K187" s="53"/>
      <c r="L187" s="53"/>
      <c r="M187" s="53"/>
      <c r="N187" s="55"/>
      <c r="O187" s="57"/>
      <c r="P187" s="53"/>
      <c r="Q187" s="63"/>
      <c r="R187" s="130"/>
      <c r="S187" s="130"/>
      <c r="T187" s="63"/>
      <c r="U187" s="63"/>
      <c r="V187" s="69"/>
      <c r="W187" s="69"/>
      <c r="X187" s="59"/>
      <c r="Y187" s="56"/>
      <c r="Z187" s="56"/>
      <c r="AA187" s="114"/>
      <c r="AB187" s="59"/>
      <c r="AC187" s="56"/>
      <c r="AD187" s="56"/>
      <c r="AE187" s="56"/>
      <c r="AF187" s="62"/>
      <c r="AG187" s="55"/>
      <c r="AH187" s="62"/>
      <c r="AI187" s="101"/>
      <c r="AJ187" s="100"/>
      <c r="AK187" s="63"/>
      <c r="AL187" s="56"/>
    </row>
    <row r="188" spans="1:38" s="4" customFormat="1" ht="97.5" customHeight="1" x14ac:dyDescent="0.25">
      <c r="A188" s="82" t="str">
        <f>CONCATENATE(B188,"-",C188,"-",E188,"-",F188)</f>
        <v>EG-XXXX-02-X</v>
      </c>
      <c r="B188" s="77" t="s">
        <v>319</v>
      </c>
      <c r="C188" s="45" t="s">
        <v>320</v>
      </c>
      <c r="D188" s="47" t="s">
        <v>334</v>
      </c>
      <c r="E188" s="88" t="s">
        <v>206</v>
      </c>
      <c r="F188" s="46" t="s">
        <v>182</v>
      </c>
      <c r="G188" s="46">
        <v>36</v>
      </c>
      <c r="H188" s="47" t="s">
        <v>279</v>
      </c>
      <c r="I188" s="35" t="s">
        <v>184</v>
      </c>
      <c r="J188" s="35" t="s">
        <v>241</v>
      </c>
      <c r="K188" s="35" t="s">
        <v>219</v>
      </c>
      <c r="L188" s="46" t="s">
        <v>305</v>
      </c>
      <c r="M188" s="35" t="s">
        <v>281</v>
      </c>
      <c r="N188" s="46" t="s">
        <v>189</v>
      </c>
      <c r="O188" s="48" t="s">
        <v>123</v>
      </c>
      <c r="P188" s="70" t="s">
        <v>191</v>
      </c>
      <c r="Q188" s="52" t="s">
        <v>191</v>
      </c>
      <c r="R188" s="128"/>
      <c r="S188" s="128"/>
      <c r="T188" s="52" t="s">
        <v>191</v>
      </c>
      <c r="U188" s="50" t="s">
        <v>191</v>
      </c>
      <c r="V188" s="71" t="s">
        <v>191</v>
      </c>
      <c r="W188" s="66" t="s">
        <v>191</v>
      </c>
      <c r="X188" s="50" t="s">
        <v>191</v>
      </c>
      <c r="Y188" s="38" t="s">
        <v>191</v>
      </c>
      <c r="Z188" s="38" t="s">
        <v>191</v>
      </c>
      <c r="AA188" s="115" t="s">
        <v>191</v>
      </c>
      <c r="AB188" s="66"/>
      <c r="AC188" s="66" t="s">
        <v>191</v>
      </c>
      <c r="AD188" s="66" t="s">
        <v>191</v>
      </c>
      <c r="AE188" s="66" t="s">
        <v>191</v>
      </c>
      <c r="AF188" s="66" t="s">
        <v>191</v>
      </c>
      <c r="AG188" s="66" t="s">
        <v>191</v>
      </c>
      <c r="AH188" s="66" t="s">
        <v>191</v>
      </c>
      <c r="AI188" s="93" t="s">
        <v>191</v>
      </c>
      <c r="AJ188" s="97" t="s">
        <v>191</v>
      </c>
      <c r="AK188" s="52" t="s">
        <v>191</v>
      </c>
      <c r="AL188" s="38" t="s">
        <v>191</v>
      </c>
    </row>
    <row r="189" spans="1:38" s="4" customFormat="1" ht="97.5" customHeight="1" x14ac:dyDescent="0.25">
      <c r="A189" s="83" t="str">
        <f t="shared" ref="A189:A190" si="44">CONCATENATE(B189,"-",C189,"-",E189,"-",F189)</f>
        <v>EG-XXXX-02-1</v>
      </c>
      <c r="B189" s="78" t="str">
        <f>B188</f>
        <v>EG</v>
      </c>
      <c r="C189" s="34" t="str">
        <f>C188</f>
        <v>XXXX</v>
      </c>
      <c r="D189" s="8" t="str">
        <f>D188</f>
        <v>Kantine</v>
      </c>
      <c r="E189" s="7" t="str">
        <f>E188</f>
        <v>02</v>
      </c>
      <c r="F189" s="7">
        <v>1</v>
      </c>
      <c r="G189" s="37" t="s">
        <v>191</v>
      </c>
      <c r="H189" s="36" t="s">
        <v>191</v>
      </c>
      <c r="I189" s="36" t="s">
        <v>191</v>
      </c>
      <c r="J189" s="36" t="s">
        <v>191</v>
      </c>
      <c r="K189" s="36" t="s">
        <v>191</v>
      </c>
      <c r="L189" s="36" t="s">
        <v>191</v>
      </c>
      <c r="M189" s="36" t="s">
        <v>191</v>
      </c>
      <c r="N189" s="37" t="s">
        <v>189</v>
      </c>
      <c r="O189" s="39" t="s">
        <v>191</v>
      </c>
      <c r="P189" s="36" t="s">
        <v>191</v>
      </c>
      <c r="Q189" s="16" t="s">
        <v>191</v>
      </c>
      <c r="R189" s="129" t="s">
        <v>193</v>
      </c>
      <c r="S189" s="129" t="s">
        <v>193</v>
      </c>
      <c r="T189" s="99" t="s">
        <v>191</v>
      </c>
      <c r="U189" s="109" t="s">
        <v>191</v>
      </c>
      <c r="V189" s="26" t="s">
        <v>191</v>
      </c>
      <c r="W189" s="111" t="s">
        <v>191</v>
      </c>
      <c r="X189" s="28" t="s">
        <v>191</v>
      </c>
      <c r="Y189" s="28" t="s">
        <v>191</v>
      </c>
      <c r="Z189" s="28" t="s">
        <v>191</v>
      </c>
      <c r="AA189" s="116">
        <v>0</v>
      </c>
      <c r="AB189" s="19">
        <v>0</v>
      </c>
      <c r="AC189" s="25">
        <v>0</v>
      </c>
      <c r="AD189" s="119">
        <v>0.2</v>
      </c>
      <c r="AE189" s="25">
        <v>0</v>
      </c>
      <c r="AF189" s="15">
        <v>0</v>
      </c>
      <c r="AG189" s="7">
        <f>G188</f>
        <v>36</v>
      </c>
      <c r="AH189" s="15">
        <v>0</v>
      </c>
      <c r="AI189" s="102" t="s">
        <v>191</v>
      </c>
      <c r="AJ189" s="99" t="s">
        <v>191</v>
      </c>
      <c r="AK189" s="99" t="s">
        <v>191</v>
      </c>
      <c r="AL189" s="8" t="s">
        <v>191</v>
      </c>
    </row>
    <row r="190" spans="1:38" s="4" customFormat="1" ht="97.5" customHeight="1" x14ac:dyDescent="0.25">
      <c r="A190" s="83" t="str">
        <f t="shared" si="44"/>
        <v>EG-XXXX-02-2</v>
      </c>
      <c r="B190" s="78" t="str">
        <f>B188</f>
        <v>EG</v>
      </c>
      <c r="C190" s="34" t="str">
        <f>C188</f>
        <v>XXXX</v>
      </c>
      <c r="D190" s="8" t="str">
        <f>D188</f>
        <v>Kantine</v>
      </c>
      <c r="E190" s="7" t="str">
        <f>E188</f>
        <v>02</v>
      </c>
      <c r="F190" s="7">
        <v>2</v>
      </c>
      <c r="G190" s="37" t="s">
        <v>191</v>
      </c>
      <c r="H190" s="36"/>
      <c r="I190" s="36" t="s">
        <v>191</v>
      </c>
      <c r="J190" s="36" t="s">
        <v>191</v>
      </c>
      <c r="K190" s="36" t="s">
        <v>191</v>
      </c>
      <c r="L190" s="36" t="s">
        <v>191</v>
      </c>
      <c r="M190" s="36" t="s">
        <v>191</v>
      </c>
      <c r="N190" s="37"/>
      <c r="O190" s="39" t="s">
        <v>191</v>
      </c>
      <c r="P190" s="36" t="s">
        <v>191</v>
      </c>
      <c r="Q190" s="16" t="s">
        <v>191</v>
      </c>
      <c r="R190" s="129" t="s">
        <v>193</v>
      </c>
      <c r="S190" s="129" t="s">
        <v>193</v>
      </c>
      <c r="T190" s="16" t="s">
        <v>191</v>
      </c>
      <c r="U190" s="109" t="s">
        <v>191</v>
      </c>
      <c r="V190" s="26" t="s">
        <v>191</v>
      </c>
      <c r="W190" s="111" t="s">
        <v>191</v>
      </c>
      <c r="X190" s="28" t="s">
        <v>191</v>
      </c>
      <c r="Y190" s="28" t="s">
        <v>191</v>
      </c>
      <c r="Z190" s="28" t="s">
        <v>191</v>
      </c>
      <c r="AA190" s="117">
        <v>0</v>
      </c>
      <c r="AB190" s="72">
        <v>0</v>
      </c>
      <c r="AC190" s="25">
        <v>0</v>
      </c>
      <c r="AD190" s="119">
        <v>0.2</v>
      </c>
      <c r="AE190" s="25">
        <v>0</v>
      </c>
      <c r="AF190" s="15">
        <v>0</v>
      </c>
      <c r="AG190" s="7">
        <f>G188</f>
        <v>36</v>
      </c>
      <c r="AH190" s="15">
        <v>0</v>
      </c>
      <c r="AI190" s="95" t="s">
        <v>191</v>
      </c>
      <c r="AJ190" s="99" t="s">
        <v>191</v>
      </c>
      <c r="AK190" s="16" t="s">
        <v>191</v>
      </c>
      <c r="AL190" s="8" t="s">
        <v>191</v>
      </c>
    </row>
    <row r="191" spans="1:38" s="4" customFormat="1" ht="14.25" customHeight="1" x14ac:dyDescent="0.25">
      <c r="A191" s="84"/>
      <c r="B191" s="79"/>
      <c r="C191" s="53"/>
      <c r="D191" s="56"/>
      <c r="E191" s="55"/>
      <c r="F191" s="55"/>
      <c r="G191" s="55"/>
      <c r="H191" s="53"/>
      <c r="I191" s="53"/>
      <c r="J191" s="53"/>
      <c r="K191" s="53"/>
      <c r="L191" s="53"/>
      <c r="M191" s="53"/>
      <c r="N191" s="55"/>
      <c r="O191" s="57"/>
      <c r="P191" s="53"/>
      <c r="Q191" s="63"/>
      <c r="R191" s="130"/>
      <c r="S191" s="130"/>
      <c r="T191" s="63"/>
      <c r="U191" s="63"/>
      <c r="V191" s="69"/>
      <c r="W191" s="69"/>
      <c r="X191" s="59"/>
      <c r="Y191" s="56"/>
      <c r="Z191" s="56"/>
      <c r="AA191" s="114"/>
      <c r="AB191" s="59"/>
      <c r="AC191" s="56"/>
      <c r="AD191" s="56"/>
      <c r="AE191" s="56"/>
      <c r="AF191" s="62"/>
      <c r="AG191" s="55"/>
      <c r="AH191" s="62"/>
      <c r="AI191" s="101"/>
      <c r="AJ191" s="100"/>
      <c r="AK191" s="63"/>
      <c r="AL191" s="56"/>
    </row>
    <row r="192" spans="1:38" s="4" customFormat="1" ht="97.5" customHeight="1" x14ac:dyDescent="0.25">
      <c r="A192" s="82" t="str">
        <f>CONCATENATE(B192,"-",C192,"-",E192,"-",F192)</f>
        <v>EG-XXXX-03-X</v>
      </c>
      <c r="B192" s="77" t="s">
        <v>319</v>
      </c>
      <c r="C192" s="45" t="s">
        <v>320</v>
      </c>
      <c r="D192" s="47" t="s">
        <v>334</v>
      </c>
      <c r="E192" s="88" t="s">
        <v>239</v>
      </c>
      <c r="F192" s="46" t="s">
        <v>182</v>
      </c>
      <c r="G192" s="46">
        <v>3</v>
      </c>
      <c r="H192" s="47" t="s">
        <v>279</v>
      </c>
      <c r="I192" s="35" t="s">
        <v>184</v>
      </c>
      <c r="J192" s="35" t="s">
        <v>241</v>
      </c>
      <c r="K192" s="35" t="s">
        <v>219</v>
      </c>
      <c r="L192" s="46" t="s">
        <v>191</v>
      </c>
      <c r="M192" s="35" t="s">
        <v>191</v>
      </c>
      <c r="N192" s="46" t="s">
        <v>189</v>
      </c>
      <c r="O192" s="48" t="s">
        <v>123</v>
      </c>
      <c r="P192" s="70" t="s">
        <v>335</v>
      </c>
      <c r="Q192" s="52" t="s">
        <v>191</v>
      </c>
      <c r="R192" s="128"/>
      <c r="S192" s="128"/>
      <c r="T192" s="52" t="s">
        <v>191</v>
      </c>
      <c r="U192" s="50" t="s">
        <v>191</v>
      </c>
      <c r="V192" s="71" t="s">
        <v>191</v>
      </c>
      <c r="W192" s="66" t="s">
        <v>191</v>
      </c>
      <c r="X192" s="50" t="s">
        <v>191</v>
      </c>
      <c r="Y192" s="38" t="s">
        <v>191</v>
      </c>
      <c r="Z192" s="38" t="s">
        <v>191</v>
      </c>
      <c r="AA192" s="115" t="s">
        <v>191</v>
      </c>
      <c r="AB192" s="66"/>
      <c r="AC192" s="66" t="s">
        <v>191</v>
      </c>
      <c r="AD192" s="66" t="s">
        <v>191</v>
      </c>
      <c r="AE192" s="66" t="s">
        <v>191</v>
      </c>
      <c r="AF192" s="66" t="s">
        <v>191</v>
      </c>
      <c r="AG192" s="66" t="s">
        <v>191</v>
      </c>
      <c r="AH192" s="66" t="s">
        <v>191</v>
      </c>
      <c r="AI192" s="93" t="s">
        <v>191</v>
      </c>
      <c r="AJ192" s="97" t="s">
        <v>191</v>
      </c>
      <c r="AK192" s="52" t="s">
        <v>191</v>
      </c>
      <c r="AL192" s="38" t="s">
        <v>191</v>
      </c>
    </row>
    <row r="193" spans="1:38" s="4" customFormat="1" ht="97.5" customHeight="1" x14ac:dyDescent="0.25">
      <c r="A193" s="83" t="str">
        <f t="shared" ref="A193:A194" si="45">CONCATENATE(B193,"-",C193,"-",E193,"-",F193)</f>
        <v>EG-XXXX-03-1</v>
      </c>
      <c r="B193" s="78" t="str">
        <f>B192</f>
        <v>EG</v>
      </c>
      <c r="C193" s="34" t="str">
        <f>C192</f>
        <v>XXXX</v>
      </c>
      <c r="D193" s="8" t="str">
        <f>D192</f>
        <v>Kantine</v>
      </c>
      <c r="E193" s="7" t="str">
        <f>E192</f>
        <v>03</v>
      </c>
      <c r="F193" s="7">
        <v>1</v>
      </c>
      <c r="G193" s="37" t="s">
        <v>191</v>
      </c>
      <c r="H193" s="36" t="s">
        <v>191</v>
      </c>
      <c r="I193" s="36" t="s">
        <v>191</v>
      </c>
      <c r="J193" s="36" t="s">
        <v>191</v>
      </c>
      <c r="K193" s="36" t="s">
        <v>191</v>
      </c>
      <c r="L193" s="36" t="s">
        <v>191</v>
      </c>
      <c r="M193" s="36" t="s">
        <v>191</v>
      </c>
      <c r="N193" s="37" t="s">
        <v>189</v>
      </c>
      <c r="O193" s="39" t="s">
        <v>191</v>
      </c>
      <c r="P193" s="36" t="s">
        <v>191</v>
      </c>
      <c r="Q193" s="16" t="s">
        <v>191</v>
      </c>
      <c r="R193" s="129" t="s">
        <v>193</v>
      </c>
      <c r="S193" s="129" t="s">
        <v>193</v>
      </c>
      <c r="T193" s="99" t="s">
        <v>191</v>
      </c>
      <c r="U193" s="109" t="s">
        <v>191</v>
      </c>
      <c r="V193" s="26" t="s">
        <v>191</v>
      </c>
      <c r="W193" s="111" t="s">
        <v>191</v>
      </c>
      <c r="X193" s="28" t="s">
        <v>191</v>
      </c>
      <c r="Y193" s="28" t="s">
        <v>191</v>
      </c>
      <c r="Z193" s="28" t="s">
        <v>191</v>
      </c>
      <c r="AA193" s="116">
        <v>0</v>
      </c>
      <c r="AB193" s="19">
        <v>0</v>
      </c>
      <c r="AC193" s="25">
        <v>0</v>
      </c>
      <c r="AD193" s="119">
        <v>0.2</v>
      </c>
      <c r="AE193" s="25">
        <v>0</v>
      </c>
      <c r="AF193" s="15">
        <v>0</v>
      </c>
      <c r="AG193" s="7">
        <f>G192</f>
        <v>3</v>
      </c>
      <c r="AH193" s="15">
        <v>0</v>
      </c>
      <c r="AI193" s="102" t="s">
        <v>191</v>
      </c>
      <c r="AJ193" s="99" t="s">
        <v>191</v>
      </c>
      <c r="AK193" s="99" t="s">
        <v>191</v>
      </c>
      <c r="AL193" s="8" t="s">
        <v>191</v>
      </c>
    </row>
    <row r="194" spans="1:38" s="4" customFormat="1" ht="97.5" customHeight="1" x14ac:dyDescent="0.25">
      <c r="A194" s="83" t="str">
        <f t="shared" si="45"/>
        <v>EG-XXXX-03-2</v>
      </c>
      <c r="B194" s="78" t="str">
        <f>B192</f>
        <v>EG</v>
      </c>
      <c r="C194" s="34" t="str">
        <f>C192</f>
        <v>XXXX</v>
      </c>
      <c r="D194" s="8" t="str">
        <f>D192</f>
        <v>Kantine</v>
      </c>
      <c r="E194" s="7" t="str">
        <f>E192</f>
        <v>03</v>
      </c>
      <c r="F194" s="7">
        <v>2</v>
      </c>
      <c r="G194" s="37" t="s">
        <v>191</v>
      </c>
      <c r="H194" s="36"/>
      <c r="I194" s="36" t="s">
        <v>191</v>
      </c>
      <c r="J194" s="36" t="s">
        <v>191</v>
      </c>
      <c r="K194" s="36" t="s">
        <v>191</v>
      </c>
      <c r="L194" s="36" t="s">
        <v>191</v>
      </c>
      <c r="M194" s="36" t="s">
        <v>191</v>
      </c>
      <c r="N194" s="37"/>
      <c r="O194" s="39" t="s">
        <v>191</v>
      </c>
      <c r="P194" s="36" t="s">
        <v>191</v>
      </c>
      <c r="Q194" s="16" t="s">
        <v>191</v>
      </c>
      <c r="R194" s="129" t="s">
        <v>193</v>
      </c>
      <c r="S194" s="129" t="s">
        <v>193</v>
      </c>
      <c r="T194" s="16" t="s">
        <v>191</v>
      </c>
      <c r="U194" s="109" t="s">
        <v>191</v>
      </c>
      <c r="V194" s="26" t="s">
        <v>191</v>
      </c>
      <c r="W194" s="111" t="s">
        <v>191</v>
      </c>
      <c r="X194" s="28" t="s">
        <v>191</v>
      </c>
      <c r="Y194" s="28" t="s">
        <v>191</v>
      </c>
      <c r="Z194" s="28" t="s">
        <v>191</v>
      </c>
      <c r="AA194" s="117">
        <v>0</v>
      </c>
      <c r="AB194" s="72">
        <v>0</v>
      </c>
      <c r="AC194" s="25">
        <v>0</v>
      </c>
      <c r="AD194" s="119">
        <v>0.2</v>
      </c>
      <c r="AE194" s="25">
        <v>0</v>
      </c>
      <c r="AF194" s="15">
        <v>0</v>
      </c>
      <c r="AG194" s="7">
        <f>G192</f>
        <v>3</v>
      </c>
      <c r="AH194" s="15">
        <v>0</v>
      </c>
      <c r="AI194" s="95" t="s">
        <v>191</v>
      </c>
      <c r="AJ194" s="99" t="s">
        <v>191</v>
      </c>
      <c r="AK194" s="16" t="s">
        <v>191</v>
      </c>
      <c r="AL194" s="8" t="s">
        <v>191</v>
      </c>
    </row>
    <row r="195" spans="1:38" s="4" customFormat="1" ht="14.25" customHeight="1" x14ac:dyDescent="0.25">
      <c r="A195" s="84"/>
      <c r="B195" s="79"/>
      <c r="C195" s="53"/>
      <c r="D195" s="56"/>
      <c r="E195" s="55"/>
      <c r="F195" s="55"/>
      <c r="G195" s="55"/>
      <c r="H195" s="53"/>
      <c r="I195" s="53"/>
      <c r="J195" s="53"/>
      <c r="K195" s="53"/>
      <c r="L195" s="53"/>
      <c r="M195" s="53"/>
      <c r="N195" s="55"/>
      <c r="O195" s="57"/>
      <c r="P195" s="53"/>
      <c r="Q195" s="63"/>
      <c r="R195" s="130"/>
      <c r="S195" s="130"/>
      <c r="T195" s="63"/>
      <c r="U195" s="63"/>
      <c r="V195" s="69"/>
      <c r="W195" s="69"/>
      <c r="X195" s="59"/>
      <c r="Y195" s="56"/>
      <c r="Z195" s="56"/>
      <c r="AA195" s="114"/>
      <c r="AB195" s="59"/>
      <c r="AC195" s="56"/>
      <c r="AD195" s="56"/>
      <c r="AE195" s="56"/>
      <c r="AF195" s="62"/>
      <c r="AG195" s="55"/>
      <c r="AH195" s="62"/>
      <c r="AI195" s="101"/>
      <c r="AJ195" s="100"/>
      <c r="AK195" s="63"/>
      <c r="AL195" s="56"/>
    </row>
    <row r="196" spans="1:38" s="4" customFormat="1" ht="97.5" customHeight="1" x14ac:dyDescent="0.25">
      <c r="A196" s="82" t="str">
        <f>CONCATENATE(B196,"-",C196,"-",E196,"-",F196)</f>
        <v>EG-XXXX-04-X</v>
      </c>
      <c r="B196" s="77" t="s">
        <v>319</v>
      </c>
      <c r="C196" s="45" t="s">
        <v>320</v>
      </c>
      <c r="D196" s="47" t="s">
        <v>334</v>
      </c>
      <c r="E196" s="88" t="s">
        <v>283</v>
      </c>
      <c r="F196" s="46" t="s">
        <v>182</v>
      </c>
      <c r="G196" s="46">
        <v>21</v>
      </c>
      <c r="H196" s="47" t="s">
        <v>273</v>
      </c>
      <c r="I196" s="35" t="s">
        <v>184</v>
      </c>
      <c r="J196" s="35" t="s">
        <v>241</v>
      </c>
      <c r="K196" s="35" t="s">
        <v>219</v>
      </c>
      <c r="L196" s="46" t="s">
        <v>274</v>
      </c>
      <c r="M196" s="35" t="s">
        <v>221</v>
      </c>
      <c r="N196" s="46" t="s">
        <v>189</v>
      </c>
      <c r="O196" s="48" t="s">
        <v>130</v>
      </c>
      <c r="P196" s="70" t="s">
        <v>336</v>
      </c>
      <c r="Q196" s="52" t="s">
        <v>191</v>
      </c>
      <c r="R196" s="128"/>
      <c r="S196" s="128"/>
      <c r="T196" s="52" t="s">
        <v>191</v>
      </c>
      <c r="U196" s="50" t="s">
        <v>191</v>
      </c>
      <c r="V196" s="71" t="s">
        <v>191</v>
      </c>
      <c r="W196" s="66" t="s">
        <v>191</v>
      </c>
      <c r="X196" s="50" t="s">
        <v>191</v>
      </c>
      <c r="Y196" s="38" t="s">
        <v>191</v>
      </c>
      <c r="Z196" s="38" t="s">
        <v>191</v>
      </c>
      <c r="AA196" s="115" t="s">
        <v>191</v>
      </c>
      <c r="AB196" s="66"/>
      <c r="AC196" s="66" t="s">
        <v>191</v>
      </c>
      <c r="AD196" s="66" t="s">
        <v>191</v>
      </c>
      <c r="AE196" s="66" t="s">
        <v>191</v>
      </c>
      <c r="AF196" s="66" t="s">
        <v>191</v>
      </c>
      <c r="AG196" s="66" t="s">
        <v>191</v>
      </c>
      <c r="AH196" s="66" t="s">
        <v>191</v>
      </c>
      <c r="AI196" s="93" t="s">
        <v>191</v>
      </c>
      <c r="AJ196" s="97" t="s">
        <v>191</v>
      </c>
      <c r="AK196" s="52" t="s">
        <v>191</v>
      </c>
      <c r="AL196" s="38" t="s">
        <v>191</v>
      </c>
    </row>
    <row r="197" spans="1:38" s="4" customFormat="1" ht="97.5" customHeight="1" x14ac:dyDescent="0.25">
      <c r="A197" s="83" t="str">
        <f t="shared" ref="A197:A198" si="46">CONCATENATE(B197,"-",C197,"-",E197,"-",F197)</f>
        <v>EG-XXXX-04-1</v>
      </c>
      <c r="B197" s="78" t="str">
        <f>B196</f>
        <v>EG</v>
      </c>
      <c r="C197" s="34" t="str">
        <f>C196</f>
        <v>XXXX</v>
      </c>
      <c r="D197" s="8" t="str">
        <f>D196</f>
        <v>Kantine</v>
      </c>
      <c r="E197" s="7" t="str">
        <f>E196</f>
        <v>04</v>
      </c>
      <c r="F197" s="7">
        <v>1</v>
      </c>
      <c r="G197" s="37" t="s">
        <v>191</v>
      </c>
      <c r="H197" s="36" t="s">
        <v>191</v>
      </c>
      <c r="I197" s="36" t="s">
        <v>191</v>
      </c>
      <c r="J197" s="36" t="s">
        <v>191</v>
      </c>
      <c r="K197" s="36" t="s">
        <v>191</v>
      </c>
      <c r="L197" s="36" t="s">
        <v>191</v>
      </c>
      <c r="M197" s="36" t="s">
        <v>191</v>
      </c>
      <c r="N197" s="37" t="s">
        <v>189</v>
      </c>
      <c r="O197" s="39" t="s">
        <v>191</v>
      </c>
      <c r="P197" s="36" t="s">
        <v>191</v>
      </c>
      <c r="Q197" s="16" t="s">
        <v>191</v>
      </c>
      <c r="R197" s="129" t="s">
        <v>193</v>
      </c>
      <c r="S197" s="129" t="s">
        <v>193</v>
      </c>
      <c r="T197" s="99" t="s">
        <v>191</v>
      </c>
      <c r="U197" s="109" t="s">
        <v>191</v>
      </c>
      <c r="V197" s="26" t="s">
        <v>191</v>
      </c>
      <c r="W197" s="111" t="s">
        <v>191</v>
      </c>
      <c r="X197" s="28" t="s">
        <v>191</v>
      </c>
      <c r="Y197" s="28" t="s">
        <v>191</v>
      </c>
      <c r="Z197" s="28" t="s">
        <v>191</v>
      </c>
      <c r="AA197" s="116">
        <v>0</v>
      </c>
      <c r="AB197" s="19">
        <v>0</v>
      </c>
      <c r="AC197" s="25">
        <v>0</v>
      </c>
      <c r="AD197" s="119">
        <v>0.2</v>
      </c>
      <c r="AE197" s="25">
        <v>0</v>
      </c>
      <c r="AF197" s="15">
        <v>0</v>
      </c>
      <c r="AG197" s="7">
        <f>G196</f>
        <v>21</v>
      </c>
      <c r="AH197" s="15">
        <v>0</v>
      </c>
      <c r="AI197" s="102" t="s">
        <v>191</v>
      </c>
      <c r="AJ197" s="99" t="s">
        <v>191</v>
      </c>
      <c r="AK197" s="99" t="s">
        <v>191</v>
      </c>
      <c r="AL197" s="8" t="s">
        <v>191</v>
      </c>
    </row>
    <row r="198" spans="1:38" s="4" customFormat="1" ht="97.5" customHeight="1" x14ac:dyDescent="0.25">
      <c r="A198" s="83" t="str">
        <f t="shared" si="46"/>
        <v>EG-XXXX-04-2</v>
      </c>
      <c r="B198" s="78" t="str">
        <f>B196</f>
        <v>EG</v>
      </c>
      <c r="C198" s="34" t="str">
        <f>C196</f>
        <v>XXXX</v>
      </c>
      <c r="D198" s="8" t="str">
        <f>D196</f>
        <v>Kantine</v>
      </c>
      <c r="E198" s="7" t="str">
        <f>E196</f>
        <v>04</v>
      </c>
      <c r="F198" s="7">
        <v>2</v>
      </c>
      <c r="G198" s="37" t="s">
        <v>191</v>
      </c>
      <c r="H198" s="36"/>
      <c r="I198" s="36" t="s">
        <v>191</v>
      </c>
      <c r="J198" s="36" t="s">
        <v>191</v>
      </c>
      <c r="K198" s="36" t="s">
        <v>191</v>
      </c>
      <c r="L198" s="36" t="s">
        <v>191</v>
      </c>
      <c r="M198" s="36" t="s">
        <v>191</v>
      </c>
      <c r="N198" s="37"/>
      <c r="O198" s="39" t="s">
        <v>191</v>
      </c>
      <c r="P198" s="36" t="s">
        <v>191</v>
      </c>
      <c r="Q198" s="16" t="s">
        <v>191</v>
      </c>
      <c r="R198" s="129" t="s">
        <v>193</v>
      </c>
      <c r="S198" s="129" t="s">
        <v>193</v>
      </c>
      <c r="T198" s="16" t="s">
        <v>191</v>
      </c>
      <c r="U198" s="109" t="s">
        <v>191</v>
      </c>
      <c r="V198" s="26" t="s">
        <v>191</v>
      </c>
      <c r="W198" s="111" t="s">
        <v>191</v>
      </c>
      <c r="X198" s="28" t="s">
        <v>191</v>
      </c>
      <c r="Y198" s="28" t="s">
        <v>191</v>
      </c>
      <c r="Z198" s="28" t="s">
        <v>191</v>
      </c>
      <c r="AA198" s="117">
        <v>0</v>
      </c>
      <c r="AB198" s="72">
        <v>0</v>
      </c>
      <c r="AC198" s="25">
        <v>0</v>
      </c>
      <c r="AD198" s="119">
        <v>0.2</v>
      </c>
      <c r="AE198" s="25">
        <v>0</v>
      </c>
      <c r="AF198" s="15">
        <v>0</v>
      </c>
      <c r="AG198" s="7">
        <f>G196</f>
        <v>21</v>
      </c>
      <c r="AH198" s="15">
        <v>0</v>
      </c>
      <c r="AI198" s="95" t="s">
        <v>191</v>
      </c>
      <c r="AJ198" s="99" t="s">
        <v>191</v>
      </c>
      <c r="AK198" s="16" t="s">
        <v>191</v>
      </c>
      <c r="AL198" s="8" t="s">
        <v>191</v>
      </c>
    </row>
    <row r="199" spans="1:38" s="4" customFormat="1" ht="14.25" customHeight="1" x14ac:dyDescent="0.25">
      <c r="A199" s="84"/>
      <c r="B199" s="79"/>
      <c r="C199" s="53"/>
      <c r="D199" s="56"/>
      <c r="E199" s="55"/>
      <c r="F199" s="55"/>
      <c r="G199" s="55"/>
      <c r="H199" s="53"/>
      <c r="I199" s="53"/>
      <c r="J199" s="53"/>
      <c r="K199" s="53"/>
      <c r="L199" s="53"/>
      <c r="M199" s="53"/>
      <c r="N199" s="55"/>
      <c r="O199" s="57"/>
      <c r="P199" s="53"/>
      <c r="Q199" s="63"/>
      <c r="R199" s="130"/>
      <c r="S199" s="130"/>
      <c r="T199" s="63"/>
      <c r="U199" s="63"/>
      <c r="V199" s="69"/>
      <c r="W199" s="69"/>
      <c r="X199" s="59"/>
      <c r="Y199" s="56"/>
      <c r="Z199" s="56"/>
      <c r="AA199" s="114"/>
      <c r="AB199" s="59"/>
      <c r="AC199" s="56"/>
      <c r="AD199" s="56"/>
      <c r="AE199" s="56"/>
      <c r="AF199" s="62"/>
      <c r="AG199" s="55"/>
      <c r="AH199" s="62"/>
      <c r="AI199" s="101"/>
      <c r="AJ199" s="100"/>
      <c r="AK199" s="63"/>
      <c r="AL199" s="56"/>
    </row>
    <row r="200" spans="1:38" s="4" customFormat="1" ht="97.5" customHeight="1" x14ac:dyDescent="0.25">
      <c r="A200" s="82" t="str">
        <f>CONCATENATE(B200,"-",C200,"-",E200,"-",F200)</f>
        <v>EG-XXXX-05-X</v>
      </c>
      <c r="B200" s="77" t="s">
        <v>319</v>
      </c>
      <c r="C200" s="45" t="s">
        <v>320</v>
      </c>
      <c r="D200" s="47" t="s">
        <v>334</v>
      </c>
      <c r="E200" s="88" t="s">
        <v>286</v>
      </c>
      <c r="F200" s="46" t="s">
        <v>182</v>
      </c>
      <c r="G200" s="46">
        <v>14</v>
      </c>
      <c r="H200" s="47" t="s">
        <v>337</v>
      </c>
      <c r="I200" s="35" t="s">
        <v>184</v>
      </c>
      <c r="J200" s="35" t="s">
        <v>185</v>
      </c>
      <c r="K200" s="35" t="s">
        <v>219</v>
      </c>
      <c r="L200" s="46" t="s">
        <v>274</v>
      </c>
      <c r="M200" s="35" t="s">
        <v>338</v>
      </c>
      <c r="N200" s="46" t="s">
        <v>189</v>
      </c>
      <c r="O200" s="48" t="s">
        <v>130</v>
      </c>
      <c r="P200" s="70" t="s">
        <v>339</v>
      </c>
      <c r="Q200" s="52" t="s">
        <v>191</v>
      </c>
      <c r="R200" s="128"/>
      <c r="S200" s="128"/>
      <c r="T200" s="52" t="s">
        <v>191</v>
      </c>
      <c r="U200" s="50" t="s">
        <v>191</v>
      </c>
      <c r="V200" s="71" t="s">
        <v>191</v>
      </c>
      <c r="W200" s="66" t="s">
        <v>191</v>
      </c>
      <c r="X200" s="50" t="s">
        <v>191</v>
      </c>
      <c r="Y200" s="38" t="s">
        <v>191</v>
      </c>
      <c r="Z200" s="38" t="s">
        <v>191</v>
      </c>
      <c r="AA200" s="115" t="s">
        <v>191</v>
      </c>
      <c r="AB200" s="66"/>
      <c r="AC200" s="66" t="s">
        <v>191</v>
      </c>
      <c r="AD200" s="66" t="s">
        <v>191</v>
      </c>
      <c r="AE200" s="66" t="s">
        <v>191</v>
      </c>
      <c r="AF200" s="66" t="s">
        <v>191</v>
      </c>
      <c r="AG200" s="66" t="s">
        <v>191</v>
      </c>
      <c r="AH200" s="66" t="s">
        <v>191</v>
      </c>
      <c r="AI200" s="93" t="s">
        <v>191</v>
      </c>
      <c r="AJ200" s="97" t="s">
        <v>191</v>
      </c>
      <c r="AK200" s="52" t="s">
        <v>191</v>
      </c>
      <c r="AL200" s="38" t="s">
        <v>191</v>
      </c>
    </row>
    <row r="201" spans="1:38" s="4" customFormat="1" ht="97.5" customHeight="1" x14ac:dyDescent="0.25">
      <c r="A201" s="83" t="str">
        <f t="shared" ref="A201:A202" si="47">CONCATENATE(B201,"-",C201,"-",E201,"-",F201)</f>
        <v>EG-XXXX-05-1</v>
      </c>
      <c r="B201" s="78" t="str">
        <f>B200</f>
        <v>EG</v>
      </c>
      <c r="C201" s="34" t="str">
        <f>C200</f>
        <v>XXXX</v>
      </c>
      <c r="D201" s="8" t="str">
        <f>D200</f>
        <v>Kantine</v>
      </c>
      <c r="E201" s="7" t="str">
        <f>E200</f>
        <v>05</v>
      </c>
      <c r="F201" s="7">
        <v>1</v>
      </c>
      <c r="G201" s="37" t="s">
        <v>191</v>
      </c>
      <c r="H201" s="36" t="s">
        <v>191</v>
      </c>
      <c r="I201" s="36" t="s">
        <v>191</v>
      </c>
      <c r="J201" s="36" t="s">
        <v>191</v>
      </c>
      <c r="K201" s="36" t="s">
        <v>191</v>
      </c>
      <c r="L201" s="36" t="s">
        <v>191</v>
      </c>
      <c r="M201" s="36" t="s">
        <v>191</v>
      </c>
      <c r="N201" s="37" t="s">
        <v>189</v>
      </c>
      <c r="O201" s="39" t="s">
        <v>191</v>
      </c>
      <c r="P201" s="36" t="s">
        <v>191</v>
      </c>
      <c r="Q201" s="16" t="s">
        <v>191</v>
      </c>
      <c r="R201" s="129" t="s">
        <v>193</v>
      </c>
      <c r="S201" s="129" t="s">
        <v>193</v>
      </c>
      <c r="T201" s="99" t="s">
        <v>191</v>
      </c>
      <c r="U201" s="109" t="s">
        <v>191</v>
      </c>
      <c r="V201" s="26" t="s">
        <v>191</v>
      </c>
      <c r="W201" s="111" t="s">
        <v>191</v>
      </c>
      <c r="X201" s="28" t="s">
        <v>191</v>
      </c>
      <c r="Y201" s="28" t="s">
        <v>191</v>
      </c>
      <c r="Z201" s="28" t="s">
        <v>191</v>
      </c>
      <c r="AA201" s="116">
        <v>0</v>
      </c>
      <c r="AB201" s="19">
        <v>0</v>
      </c>
      <c r="AC201" s="25">
        <v>0</v>
      </c>
      <c r="AD201" s="119">
        <v>0.2</v>
      </c>
      <c r="AE201" s="25">
        <v>0</v>
      </c>
      <c r="AF201" s="15">
        <v>0</v>
      </c>
      <c r="AG201" s="7">
        <f>G200</f>
        <v>14</v>
      </c>
      <c r="AH201" s="15">
        <v>0</v>
      </c>
      <c r="AI201" s="102" t="s">
        <v>191</v>
      </c>
      <c r="AJ201" s="99" t="s">
        <v>191</v>
      </c>
      <c r="AK201" s="99" t="s">
        <v>191</v>
      </c>
      <c r="AL201" s="8" t="s">
        <v>191</v>
      </c>
    </row>
    <row r="202" spans="1:38" s="4" customFormat="1" ht="97.5" customHeight="1" x14ac:dyDescent="0.25">
      <c r="A202" s="83" t="str">
        <f t="shared" si="47"/>
        <v>EG-XXXX-05-2</v>
      </c>
      <c r="B202" s="78" t="str">
        <f>B200</f>
        <v>EG</v>
      </c>
      <c r="C202" s="34" t="str">
        <f>C200</f>
        <v>XXXX</v>
      </c>
      <c r="D202" s="8" t="str">
        <f>D200</f>
        <v>Kantine</v>
      </c>
      <c r="E202" s="7" t="str">
        <f>E200</f>
        <v>05</v>
      </c>
      <c r="F202" s="7">
        <v>2</v>
      </c>
      <c r="G202" s="37" t="s">
        <v>191</v>
      </c>
      <c r="H202" s="36"/>
      <c r="I202" s="36" t="s">
        <v>191</v>
      </c>
      <c r="J202" s="36" t="s">
        <v>191</v>
      </c>
      <c r="K202" s="36" t="s">
        <v>191</v>
      </c>
      <c r="L202" s="36" t="s">
        <v>191</v>
      </c>
      <c r="M202" s="36" t="s">
        <v>191</v>
      </c>
      <c r="N202" s="37"/>
      <c r="O202" s="39" t="s">
        <v>191</v>
      </c>
      <c r="P202" s="36" t="s">
        <v>191</v>
      </c>
      <c r="Q202" s="16" t="s">
        <v>191</v>
      </c>
      <c r="R202" s="129" t="s">
        <v>193</v>
      </c>
      <c r="S202" s="129" t="s">
        <v>193</v>
      </c>
      <c r="T202" s="16" t="s">
        <v>191</v>
      </c>
      <c r="U202" s="109" t="s">
        <v>191</v>
      </c>
      <c r="V202" s="26" t="s">
        <v>191</v>
      </c>
      <c r="W202" s="111" t="s">
        <v>191</v>
      </c>
      <c r="X202" s="28" t="s">
        <v>191</v>
      </c>
      <c r="Y202" s="28" t="s">
        <v>191</v>
      </c>
      <c r="Z202" s="28" t="s">
        <v>191</v>
      </c>
      <c r="AA202" s="117">
        <v>0</v>
      </c>
      <c r="AB202" s="72">
        <v>0</v>
      </c>
      <c r="AC202" s="25">
        <v>0</v>
      </c>
      <c r="AD202" s="119">
        <v>0.2</v>
      </c>
      <c r="AE202" s="25">
        <v>0</v>
      </c>
      <c r="AF202" s="15">
        <v>0</v>
      </c>
      <c r="AG202" s="7">
        <f>G200</f>
        <v>14</v>
      </c>
      <c r="AH202" s="15">
        <v>0</v>
      </c>
      <c r="AI202" s="95" t="s">
        <v>191</v>
      </c>
      <c r="AJ202" s="99" t="s">
        <v>191</v>
      </c>
      <c r="AK202" s="16" t="s">
        <v>191</v>
      </c>
      <c r="AL202" s="8" t="s">
        <v>191</v>
      </c>
    </row>
    <row r="203" spans="1:38" s="4" customFormat="1" ht="14.25" customHeight="1" x14ac:dyDescent="0.25">
      <c r="A203" s="84"/>
      <c r="B203" s="79"/>
      <c r="C203" s="53"/>
      <c r="D203" s="56"/>
      <c r="E203" s="55"/>
      <c r="F203" s="55"/>
      <c r="G203" s="55"/>
      <c r="H203" s="53"/>
      <c r="I203" s="53"/>
      <c r="J203" s="53"/>
      <c r="K203" s="53"/>
      <c r="L203" s="53"/>
      <c r="M203" s="53"/>
      <c r="N203" s="55"/>
      <c r="O203" s="57"/>
      <c r="P203" s="53"/>
      <c r="Q203" s="63"/>
      <c r="R203" s="130"/>
      <c r="S203" s="130"/>
      <c r="T203" s="63"/>
      <c r="U203" s="63"/>
      <c r="V203" s="69"/>
      <c r="W203" s="69"/>
      <c r="X203" s="59"/>
      <c r="Y203" s="56"/>
      <c r="Z203" s="56"/>
      <c r="AA203" s="114"/>
      <c r="AB203" s="59"/>
      <c r="AC203" s="56"/>
      <c r="AD203" s="56"/>
      <c r="AE203" s="56"/>
      <c r="AF203" s="62"/>
      <c r="AG203" s="55"/>
      <c r="AH203" s="62"/>
      <c r="AI203" s="101"/>
      <c r="AJ203" s="100"/>
      <c r="AK203" s="63"/>
      <c r="AL203" s="56"/>
    </row>
    <row r="205" spans="1:38" x14ac:dyDescent="0.25">
      <c r="G205" s="23"/>
      <c r="AG205" s="23"/>
    </row>
  </sheetData>
  <mergeCells count="1">
    <mergeCell ref="AL6:AL8"/>
  </mergeCells>
  <phoneticPr fontId="3" type="noConversion"/>
  <conditionalFormatting sqref="R11:R203">
    <cfRule type="cellIs" dxfId="21" priority="13" operator="equal">
      <formula>"X"</formula>
    </cfRule>
  </conditionalFormatting>
  <conditionalFormatting sqref="S12:S14">
    <cfRule type="cellIs" dxfId="20" priority="1" operator="equal">
      <formula>"X"</formula>
    </cfRule>
  </conditionalFormatting>
  <conditionalFormatting sqref="S16:S18">
    <cfRule type="cellIs" dxfId="19" priority="2" operator="equal">
      <formula>"X"</formula>
    </cfRule>
  </conditionalFormatting>
  <conditionalFormatting sqref="S20:S22">
    <cfRule type="cellIs" dxfId="18" priority="3" operator="equal">
      <formula>"X"</formula>
    </cfRule>
  </conditionalFormatting>
  <conditionalFormatting sqref="S24:S26">
    <cfRule type="cellIs" dxfId="17" priority="4" operator="equal">
      <formula>"X"</formula>
    </cfRule>
  </conditionalFormatting>
  <conditionalFormatting sqref="S28:S30">
    <cfRule type="cellIs" dxfId="16" priority="5" operator="equal">
      <formula>"X"</formula>
    </cfRule>
  </conditionalFormatting>
  <conditionalFormatting sqref="S32:S34">
    <cfRule type="cellIs" dxfId="15" priority="6" operator="equal">
      <formula>"X"</formula>
    </cfRule>
  </conditionalFormatting>
  <conditionalFormatting sqref="S36:S38">
    <cfRule type="cellIs" dxfId="14" priority="7" operator="equal">
      <formula>"X"</formula>
    </cfRule>
  </conditionalFormatting>
  <conditionalFormatting sqref="S40:S42">
    <cfRule type="cellIs" dxfId="13" priority="8" operator="equal">
      <formula>"X"</formula>
    </cfRule>
  </conditionalFormatting>
  <conditionalFormatting sqref="S44:S46">
    <cfRule type="cellIs" dxfId="12" priority="9" operator="equal">
      <formula>"X"</formula>
    </cfRule>
  </conditionalFormatting>
  <conditionalFormatting sqref="S48:S50">
    <cfRule type="cellIs" dxfId="11" priority="10" operator="equal">
      <formula>"X"</formula>
    </cfRule>
  </conditionalFormatting>
  <conditionalFormatting sqref="S52:S203">
    <cfRule type="cellIs" dxfId="10" priority="11" operator="equal">
      <formula>"X"</formula>
    </cfRule>
  </conditionalFormatting>
  <hyperlinks>
    <hyperlink ref="AL13" r:id="rId1" xr:uid="{52310B02-1AD9-4C17-915C-2BAE6BD68B5F}"/>
    <hyperlink ref="AL21" r:id="rId2" xr:uid="{0D7B8C4B-BE5E-4661-A355-5325B281F724}"/>
  </hyperlinks>
  <pageMargins left="0.70866141732283472" right="0.70866141732283472" top="0.74803149606299213" bottom="0.74803149606299213" header="0.31496062992125984" footer="0.31496062992125984"/>
  <pageSetup paperSize="8" scale="30" fitToHeight="0" orientation="landscape" r:id="rId3"/>
  <headerFooter>
    <oddFooter>&amp;LBuro Happold&amp;CLighting Technical Due Diligence Report - Appendix A&amp;R&amp;P/ 25</oddFooter>
  </headerFooter>
  <drawing r:id="rId4"/>
  <extLst>
    <ext xmlns:x14="http://schemas.microsoft.com/office/spreadsheetml/2009/9/main" uri="{78C0D931-6437-407d-A8EE-F0AAD7539E65}">
      <x14:conditionalFormattings>
        <x14:conditionalFormatting xmlns:xm="http://schemas.microsoft.com/office/excel/2006/main">
          <x14:cfRule type="cellIs" priority="138" operator="equal" id="{1F3B94E1-79E5-4B7E-BC66-E7CDC50A5298}">
            <xm:f>DropDown!$F$2</xm:f>
            <x14:dxf>
              <fill>
                <patternFill>
                  <bgColor rgb="FF00E668"/>
                </patternFill>
              </fill>
            </x14:dxf>
          </x14:cfRule>
          <x14:cfRule type="cellIs" priority="139" operator="equal" id="{07911F96-29DA-46B3-8A96-859B219FBDAA}">
            <xm:f>DropDown!$F$6</xm:f>
            <x14:dxf>
              <fill>
                <patternFill>
                  <bgColor rgb="FFFF7171"/>
                </patternFill>
              </fill>
            </x14:dxf>
          </x14:cfRule>
          <x14:cfRule type="cellIs" priority="140" operator="equal" id="{1A031B65-5147-4E10-9AD1-D150B2BDC006}">
            <xm:f>DropDown!$F$4</xm:f>
            <x14:dxf>
              <fill>
                <patternFill>
                  <bgColor rgb="FFF7C7AC"/>
                </patternFill>
              </fill>
            </x14:dxf>
          </x14:cfRule>
          <x14:cfRule type="cellIs" priority="141" operator="equal" id="{EA6D624C-17F6-470A-B1BE-11E5C0D1E54C}">
            <xm:f>DropDown!$F$5</xm:f>
            <x14:dxf>
              <fill>
                <patternFill>
                  <bgColor rgb="FFF1A983"/>
                </patternFill>
              </fill>
            </x14:dxf>
          </x14:cfRule>
          <x14:cfRule type="cellIs" priority="142" operator="equal" id="{EBE36C4A-1841-4C14-941D-169F025F8ABE}">
            <xm:f>DropDown!$F$3</xm:f>
            <x14:dxf>
              <font>
                <b val="0"/>
                <i val="0"/>
              </font>
              <fill>
                <patternFill patternType="solid">
                  <bgColor rgb="FFBAE18F"/>
                </patternFill>
              </fill>
            </x14:dxf>
          </x14:cfRule>
          <xm:sqref>O12:O203</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D165F3FC-E0B2-44B8-B04E-8BBC5E476670}">
          <x14:formula1>
            <xm:f>DropDown!$E$2:$E$5</xm:f>
          </x14:formula1>
          <xm:sqref>N12:N203</xm:sqref>
        </x14:dataValidation>
        <x14:dataValidation type="list" allowBlank="1" showInputMessage="1" showErrorMessage="1" xr:uid="{091B0A4A-5871-4200-AB92-81A7092DABF7}">
          <x14:formula1>
            <xm:f>DropDown!$C$2:$C$7</xm:f>
          </x14:formula1>
          <xm:sqref>K12:K203</xm:sqref>
        </x14:dataValidation>
        <x14:dataValidation type="list" allowBlank="1" showInputMessage="1" showErrorMessage="1" xr:uid="{619C1E6E-8A00-435D-9B18-1E20F42252A2}">
          <x14:formula1>
            <xm:f>DropDown!$F$2:$F$7</xm:f>
          </x14:formula1>
          <xm:sqref>O12:O203</xm:sqref>
        </x14:dataValidation>
        <x14:dataValidation type="list" allowBlank="1" showInputMessage="1" showErrorMessage="1" xr:uid="{B5D2C834-0E35-40A6-B376-464FDF091642}">
          <x14:formula1>
            <xm:f>DropDown!$B$2:$B$9</xm:f>
          </x14:formula1>
          <xm:sqref>I18:I19 I22:I23 I46:I47 I26:I27 I30:I31 I34:I35 I38:I39 I42:I43 I50:I51 J12:J203 I54:I55 I58:I59 I62:I63 I66:I67 I70:I71 I74:I75 I78:I79 I82:I83 I86:I87 I90:I91 I94:I95 I98:I99 I102:I103 I106:I107 I110:I111 I114:I115 I118:I119 I122:I123 I126:I127 I130:I131 I134:I135 I138:I139 I142:I143 I146:I147 I150:I151 I154:I155 I158:I159 I162:I163 I166:I167 I170:I171 I174:I175 I178:I179 I182:I183 I186:I187 I190:I191 I194:I195 I198:I199 I202:I203</xm:sqref>
        </x14:dataValidation>
        <x14:dataValidation type="list" allowBlank="1" showInputMessage="1" showErrorMessage="1" xr:uid="{EA82EDCC-171A-484F-98A7-44582E3A42DC}">
          <x14:formula1>
            <xm:f>DropDown!$A$2:$A$6</xm:f>
          </x14:formula1>
          <xm:sqref>I12:I17 I20:I21 I24:I25 I28:I29 I32:I33 I36:I37 I40:I41 I44:I45 I48:I49 I52:I53 I56:I57 I60:I61 I64:I65 I68:I69 I72:I73 I76:I77 I80:I81 I84:I85 I88:I89 I92:I93 I96:I97 I100:I101 I104:I105 I108:I109 I112:I113 I116:I117 I120:I121 I124:I125 I128:I129 I132:I133 I136:I137 I140:I141 I144:I145 I148:I149 I152:I153 I156:I157 I160:I161 I164:I165 I168:I169 I172:I173 I176:I177 I180:I181 I184:I185 I188:I189 I192:I193 I196:I197 I200:I201</xm:sqref>
        </x14:dataValidation>
        <x14:dataValidation type="list" allowBlank="1" showInputMessage="1" showErrorMessage="1" xr:uid="{E77EEB8C-E9E0-46E6-9620-F9EEB5FA6F65}">
          <x14:formula1>
            <xm:f>DropDown!$D$2:$D$15</xm:f>
          </x14:formula1>
          <xm:sqref>M16:M18 M20 M12:M14 M24 M28 M32 M36 M40 M44 M48 M52 M56 M60 M64 M68 M72 M76 M80 M84 M88 M92 M96 M100 M104 M108 M112 M116 M120 M124 M128 M132 M136 M140 M144 M148 M152 M156 M160 M164 M168 M172 M176 M180 M184 M188 M192 M196 M200</xm:sqref>
        </x14:dataValidation>
        <x14:dataValidation type="list" allowBlank="1" showInputMessage="1" showErrorMessage="1" xr:uid="{EFD96D67-5DD9-45C6-B761-009579743E5C}">
          <x14:formula1>
            <xm:f>DropDown!$I$2:$I$7</xm:f>
          </x14:formula1>
          <xm:sqref>Q13:Q14 Q17:Q18 Q21:Q22 Q25:Q26 Q29:Q30 Q33:Q34 Q37:Q38 Q41:Q42 Q45:Q46 Q49:Q50 Q53:Q54 Q57:Q58 Q61:Q62 Q65:Q66 Q69:Q70 Q73:Q74 Q77:Q78 Q81:Q82 Q85:Q86 Q89:Q90 Q93:Q94 Q97:Q98 Q101:Q102 Q105:Q106 Q109:Q110 Q113:Q114 Q117:Q118 Q121:Q122 Q125:Q126 Q129:Q130 Q133:Q134 Q137:Q138 Q141:Q142 Q145:Q146 Q149:Q150 Q153:Q154 Q157:Q158 Q161:Q162 Q165:Q166 Q169:Q170 Q173:Q174 Q177:Q178 Q181:Q182 Q185:Q186 Q189:Q190 Q193:Q194 Q197:Q198 Q201:Q202</xm:sqref>
        </x14:dataValidation>
        <x14:dataValidation type="list" showInputMessage="1" showErrorMessage="1" xr:uid="{D8C72EB7-4766-4CAD-AC80-0136B7BF12FD}">
          <x14:formula1>
            <xm:f>DropDown!$H$2:$H$5</xm:f>
          </x14:formula1>
          <xm:sqref>R61:S62 R65:S66 R69:S70 R73:S74 R77:S78 R81:S82 R85:S86 R89:S90 R93:S94 R97:S98 R101:S102 R105:S106 R109:S110 R113:S114 R117:S118 R121:S122 R125:S126 R129:S130 R133:S134 R137:S138 R141:S142 R145:S146 R149:S150 R153:S154 R157:S158 R161:S162 R165:S166 R169:S170 R173:S174 R177:S178 R181:S182 R185:S186 R189:S190 R193:S194 R197:S198 R201:S202 R57:S58 R17:S18 R21:S22 R25:S26 R29:S30 R33:S34 R37:S38 R41:S42 R45:S46 R49:S50 R53:S54 R13:S14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2474-4826-4FD9-87EE-CAC27B940B23}">
  <dimension ref="A1"/>
  <sheetViews>
    <sheetView workbookViewId="0">
      <selection activeCell="B3" sqref="B3"/>
    </sheetView>
  </sheetViews>
  <sheetFormatPr defaultRowHeight="14.2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CB080-F03C-41B5-A64E-846136410EBB}">
  <dimension ref="A2:I15"/>
  <sheetViews>
    <sheetView workbookViewId="0">
      <selection activeCell="H6" sqref="H6"/>
    </sheetView>
  </sheetViews>
  <sheetFormatPr defaultRowHeight="14.25" x14ac:dyDescent="0.25"/>
  <cols>
    <col min="2" max="2" width="14.7109375" bestFit="1" customWidth="1"/>
    <col min="3" max="3" width="10.85546875" bestFit="1" customWidth="1"/>
    <col min="5" max="5" width="21.140625" bestFit="1" customWidth="1"/>
    <col min="6" max="6" width="16.140625" customWidth="1"/>
    <col min="7" max="7" width="20.28515625" bestFit="1" customWidth="1"/>
    <col min="9" max="9" width="21" customWidth="1"/>
  </cols>
  <sheetData>
    <row r="2" spans="1:9" x14ac:dyDescent="0.25">
      <c r="A2" t="s">
        <v>184</v>
      </c>
      <c r="B2" t="s">
        <v>185</v>
      </c>
      <c r="C2" t="s">
        <v>209</v>
      </c>
      <c r="D2" t="s">
        <v>340</v>
      </c>
      <c r="E2" t="s">
        <v>341</v>
      </c>
      <c r="F2" t="s">
        <v>116</v>
      </c>
      <c r="G2" t="s">
        <v>342</v>
      </c>
      <c r="H2" s="73" t="s">
        <v>258</v>
      </c>
      <c r="I2" t="s">
        <v>212</v>
      </c>
    </row>
    <row r="3" spans="1:9" x14ac:dyDescent="0.25">
      <c r="A3" t="s">
        <v>343</v>
      </c>
      <c r="B3" t="s">
        <v>208</v>
      </c>
      <c r="C3" t="s">
        <v>219</v>
      </c>
      <c r="D3" t="s">
        <v>314</v>
      </c>
      <c r="E3" t="s">
        <v>344</v>
      </c>
      <c r="F3" t="s">
        <v>123</v>
      </c>
      <c r="G3" t="s">
        <v>345</v>
      </c>
      <c r="H3" s="73" t="s">
        <v>259</v>
      </c>
      <c r="I3" t="s">
        <v>192</v>
      </c>
    </row>
    <row r="4" spans="1:9" x14ac:dyDescent="0.25">
      <c r="A4" t="s">
        <v>310</v>
      </c>
      <c r="B4" t="s">
        <v>241</v>
      </c>
      <c r="C4" t="s">
        <v>186</v>
      </c>
      <c r="D4" t="s">
        <v>221</v>
      </c>
      <c r="E4" t="s">
        <v>346</v>
      </c>
      <c r="F4" t="s">
        <v>125</v>
      </c>
      <c r="G4" t="s">
        <v>347</v>
      </c>
      <c r="H4" t="s">
        <v>193</v>
      </c>
      <c r="I4" t="s">
        <v>200</v>
      </c>
    </row>
    <row r="5" spans="1:9" x14ac:dyDescent="0.25">
      <c r="A5" t="s">
        <v>230</v>
      </c>
      <c r="B5" t="s">
        <v>348</v>
      </c>
      <c r="C5" t="s">
        <v>312</v>
      </c>
      <c r="D5" t="s">
        <v>261</v>
      </c>
      <c r="E5" t="s">
        <v>349</v>
      </c>
      <c r="F5" t="s">
        <v>130</v>
      </c>
      <c r="G5" t="s">
        <v>350</v>
      </c>
      <c r="H5" t="s">
        <v>182</v>
      </c>
      <c r="I5" t="s">
        <v>191</v>
      </c>
    </row>
    <row r="6" spans="1:9" x14ac:dyDescent="0.25">
      <c r="A6" t="s">
        <v>191</v>
      </c>
      <c r="B6" t="s">
        <v>329</v>
      </c>
      <c r="C6" t="s">
        <v>351</v>
      </c>
      <c r="D6" t="s">
        <v>338</v>
      </c>
      <c r="F6" t="s">
        <v>135</v>
      </c>
      <c r="G6" t="s">
        <v>352</v>
      </c>
    </row>
    <row r="7" spans="1:9" x14ac:dyDescent="0.25">
      <c r="B7" t="s">
        <v>231</v>
      </c>
      <c r="C7" t="s">
        <v>191</v>
      </c>
      <c r="D7" t="s">
        <v>188</v>
      </c>
      <c r="F7" t="s">
        <v>191</v>
      </c>
    </row>
    <row r="8" spans="1:9" x14ac:dyDescent="0.25">
      <c r="B8" t="s">
        <v>311</v>
      </c>
      <c r="D8" t="s">
        <v>353</v>
      </c>
    </row>
    <row r="9" spans="1:9" x14ac:dyDescent="0.25">
      <c r="B9" t="s">
        <v>191</v>
      </c>
      <c r="D9" t="s">
        <v>354</v>
      </c>
    </row>
    <row r="10" spans="1:9" x14ac:dyDescent="0.25">
      <c r="D10" t="s">
        <v>355</v>
      </c>
    </row>
    <row r="11" spans="1:9" x14ac:dyDescent="0.25">
      <c r="D11" t="s">
        <v>356</v>
      </c>
    </row>
    <row r="12" spans="1:9" x14ac:dyDescent="0.25">
      <c r="D12" t="s">
        <v>281</v>
      </c>
    </row>
    <row r="13" spans="1:9" x14ac:dyDescent="0.25">
      <c r="D13" t="s">
        <v>323</v>
      </c>
    </row>
    <row r="14" spans="1:9" x14ac:dyDescent="0.25">
      <c r="D14" t="s">
        <v>318</v>
      </c>
    </row>
    <row r="15" spans="1:9" x14ac:dyDescent="0.25">
      <c r="D15" t="s">
        <v>191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7113-ECA0-4A71-9EFF-A20804A8ABB4}">
  <sheetPr>
    <pageSetUpPr fitToPage="1"/>
  </sheetPr>
  <dimension ref="A2:Z66"/>
  <sheetViews>
    <sheetView zoomScale="85" zoomScaleNormal="85" workbookViewId="0">
      <selection activeCell="Z15" sqref="Z15"/>
    </sheetView>
  </sheetViews>
  <sheetFormatPr defaultRowHeight="14.25" x14ac:dyDescent="0.25"/>
  <cols>
    <col min="1" max="1" width="11.140625" customWidth="1"/>
    <col min="2" max="2" width="27.5703125" customWidth="1"/>
    <col min="3" max="3" width="13.42578125" style="5" customWidth="1"/>
    <col min="4" max="4" width="9.140625" style="5"/>
    <col min="5" max="5" width="27.5703125" bestFit="1" customWidth="1"/>
    <col min="6" max="6" width="16.5703125" style="5" bestFit="1" customWidth="1"/>
    <col min="7" max="7" width="24.28515625" style="5" customWidth="1"/>
    <col min="8" max="8" width="13.85546875" style="5" bestFit="1" customWidth="1"/>
    <col min="9" max="9" width="11.140625" style="5" customWidth="1"/>
    <col min="10" max="10" width="22.140625" style="5" hidden="1" customWidth="1"/>
    <col min="11" max="11" width="15.28515625" style="5" customWidth="1"/>
    <col min="12" max="12" width="41.42578125" bestFit="1" customWidth="1"/>
    <col min="13" max="13" width="22.7109375" style="5" customWidth="1"/>
    <col min="14" max="14" width="28.42578125" bestFit="1" customWidth="1"/>
    <col min="15" max="17" width="28.42578125" customWidth="1"/>
    <col min="18" max="18" width="26.28515625" bestFit="1" customWidth="1"/>
    <col min="19" max="19" width="25.85546875" bestFit="1" customWidth="1"/>
    <col min="20" max="21" width="25.85546875" customWidth="1"/>
    <col min="22" max="22" width="29.85546875" bestFit="1" customWidth="1"/>
    <col min="23" max="23" width="29.85546875" customWidth="1"/>
    <col min="24" max="24" width="29.5703125" customWidth="1"/>
    <col min="25" max="25" width="15.140625" bestFit="1" customWidth="1"/>
    <col min="26" max="26" width="24.42578125" customWidth="1"/>
  </cols>
  <sheetData>
    <row r="2" spans="1:26" ht="30.75" x14ac:dyDescent="0.55000000000000004">
      <c r="A2" s="13" t="s">
        <v>111</v>
      </c>
      <c r="Z2" s="22" t="s">
        <v>357</v>
      </c>
    </row>
    <row r="3" spans="1:26" x14ac:dyDescent="0.25">
      <c r="A3" s="1" t="s">
        <v>112</v>
      </c>
      <c r="B3" s="3" t="s">
        <v>113</v>
      </c>
      <c r="F3" s="1" t="s">
        <v>114</v>
      </c>
      <c r="Z3" s="22" t="s">
        <v>358</v>
      </c>
    </row>
    <row r="4" spans="1:26" x14ac:dyDescent="0.25">
      <c r="B4" s="2" t="s">
        <v>115</v>
      </c>
      <c r="F4" s="5" t="s">
        <v>359</v>
      </c>
      <c r="G4" s="21" t="s">
        <v>117</v>
      </c>
      <c r="Z4" s="23"/>
    </row>
    <row r="5" spans="1:26" x14ac:dyDescent="0.25">
      <c r="B5" s="2" t="s">
        <v>122</v>
      </c>
      <c r="F5" s="5" t="s">
        <v>360</v>
      </c>
      <c r="G5" s="21" t="s">
        <v>124</v>
      </c>
      <c r="Z5" s="22" t="s">
        <v>361</v>
      </c>
    </row>
    <row r="6" spans="1:26" x14ac:dyDescent="0.25">
      <c r="B6" s="2"/>
      <c r="F6" s="5" t="s">
        <v>362</v>
      </c>
      <c r="G6" s="21" t="s">
        <v>126</v>
      </c>
      <c r="K6" s="23"/>
    </row>
    <row r="7" spans="1:26" x14ac:dyDescent="0.25">
      <c r="A7" s="1" t="s">
        <v>129</v>
      </c>
      <c r="B7" s="12">
        <v>45919</v>
      </c>
      <c r="F7" s="5" t="s">
        <v>363</v>
      </c>
      <c r="G7" s="21" t="s">
        <v>131</v>
      </c>
      <c r="L7" s="90" t="s">
        <v>364</v>
      </c>
      <c r="Z7" s="167" t="s">
        <v>365</v>
      </c>
    </row>
    <row r="8" spans="1:26" x14ac:dyDescent="0.25">
      <c r="A8" s="1" t="s">
        <v>133</v>
      </c>
      <c r="B8" s="2" t="s">
        <v>134</v>
      </c>
      <c r="F8" s="5" t="s">
        <v>366</v>
      </c>
      <c r="G8" s="21" t="s">
        <v>136</v>
      </c>
      <c r="L8" s="91" t="s">
        <v>367</v>
      </c>
      <c r="Z8" s="167"/>
    </row>
    <row r="9" spans="1:26" x14ac:dyDescent="0.25">
      <c r="A9" s="1" t="s">
        <v>139</v>
      </c>
      <c r="B9" s="2" t="s">
        <v>140</v>
      </c>
      <c r="Z9" s="167"/>
    </row>
    <row r="14" spans="1:26" s="4" customFormat="1" ht="28.5" x14ac:dyDescent="0.25">
      <c r="A14" s="10" t="s">
        <v>142</v>
      </c>
      <c r="B14" s="10" t="s">
        <v>368</v>
      </c>
      <c r="C14" s="11" t="s">
        <v>149</v>
      </c>
      <c r="D14" s="10" t="s">
        <v>369</v>
      </c>
      <c r="E14" s="10" t="s">
        <v>370</v>
      </c>
      <c r="F14" s="10" t="s">
        <v>371</v>
      </c>
      <c r="G14" s="10" t="s">
        <v>372</v>
      </c>
      <c r="H14" s="10" t="s">
        <v>373</v>
      </c>
      <c r="I14" s="10" t="s">
        <v>153</v>
      </c>
      <c r="J14" s="11" t="s">
        <v>154</v>
      </c>
      <c r="K14" s="24" t="s">
        <v>374</v>
      </c>
      <c r="L14" s="10" t="s">
        <v>156</v>
      </c>
      <c r="M14" s="27" t="s">
        <v>375</v>
      </c>
      <c r="N14" s="24" t="s">
        <v>376</v>
      </c>
      <c r="O14" s="24" t="s">
        <v>165</v>
      </c>
      <c r="P14" s="24" t="s">
        <v>166</v>
      </c>
      <c r="Q14" s="24" t="s">
        <v>377</v>
      </c>
      <c r="R14" s="11" t="s">
        <v>378</v>
      </c>
      <c r="S14" s="11" t="s">
        <v>379</v>
      </c>
      <c r="T14" s="11" t="s">
        <v>380</v>
      </c>
      <c r="U14" s="11" t="s">
        <v>381</v>
      </c>
      <c r="V14" s="24" t="s">
        <v>382</v>
      </c>
      <c r="W14" s="24" t="s">
        <v>383</v>
      </c>
      <c r="X14" s="11" t="s">
        <v>384</v>
      </c>
      <c r="Y14" s="11" t="s">
        <v>385</v>
      </c>
      <c r="Z14" s="11" t="s">
        <v>178</v>
      </c>
    </row>
    <row r="15" spans="1:26" s="4" customFormat="1" ht="147" customHeight="1" x14ac:dyDescent="0.25">
      <c r="A15" s="172" t="s">
        <v>179</v>
      </c>
      <c r="B15" s="176" t="s">
        <v>386</v>
      </c>
      <c r="C15" s="172" t="s">
        <v>184</v>
      </c>
      <c r="D15" s="172">
        <v>1</v>
      </c>
      <c r="E15" s="174" t="s">
        <v>387</v>
      </c>
      <c r="F15" s="172" t="s">
        <v>185</v>
      </c>
      <c r="G15" s="172" t="s">
        <v>388</v>
      </c>
      <c r="H15" s="172" t="s">
        <v>246</v>
      </c>
      <c r="I15" s="172" t="s">
        <v>188</v>
      </c>
      <c r="J15" s="7" t="s">
        <v>189</v>
      </c>
      <c r="K15" s="170" t="s">
        <v>125</v>
      </c>
      <c r="L15" s="168" t="s">
        <v>190</v>
      </c>
      <c r="M15" s="28" t="s">
        <v>389</v>
      </c>
      <c r="N15" s="174" t="s">
        <v>390</v>
      </c>
      <c r="O15" s="31"/>
      <c r="P15" s="31"/>
      <c r="Q15" s="31"/>
      <c r="R15" s="8" t="s">
        <v>194</v>
      </c>
      <c r="S15" s="14">
        <v>0.55000000000000004</v>
      </c>
      <c r="T15" s="8" t="s">
        <v>391</v>
      </c>
      <c r="U15" s="25">
        <v>16</v>
      </c>
      <c r="V15" s="15">
        <f>U15*2+45</f>
        <v>77</v>
      </c>
      <c r="W15" s="15" t="s">
        <v>196</v>
      </c>
      <c r="X15" s="16" t="s">
        <v>197</v>
      </c>
      <c r="Y15" s="8" t="s">
        <v>198</v>
      </c>
      <c r="Z15" s="17" t="s">
        <v>199</v>
      </c>
    </row>
    <row r="16" spans="1:26" s="4" customFormat="1" ht="147" customHeight="1" x14ac:dyDescent="0.25">
      <c r="A16" s="173"/>
      <c r="B16" s="177"/>
      <c r="C16" s="173"/>
      <c r="D16" s="173"/>
      <c r="E16" s="175"/>
      <c r="F16" s="173"/>
      <c r="G16" s="173"/>
      <c r="H16" s="173"/>
      <c r="I16" s="173"/>
      <c r="J16" s="7"/>
      <c r="K16" s="171"/>
      <c r="L16" s="169"/>
      <c r="M16" s="28" t="s">
        <v>392</v>
      </c>
      <c r="N16" s="175"/>
      <c r="O16" s="32"/>
      <c r="P16" s="32"/>
      <c r="Q16" s="32"/>
      <c r="R16" s="8" t="s">
        <v>393</v>
      </c>
      <c r="S16" s="14"/>
      <c r="T16" s="8"/>
      <c r="U16" s="25"/>
      <c r="V16" s="15"/>
      <c r="W16" s="15"/>
      <c r="X16" s="16"/>
      <c r="Y16" s="8"/>
      <c r="Z16" s="17"/>
    </row>
    <row r="17" spans="1:26" s="4" customFormat="1" ht="147" customHeight="1" x14ac:dyDescent="0.25">
      <c r="A17" s="172" t="s">
        <v>179</v>
      </c>
      <c r="B17" s="176" t="s">
        <v>386</v>
      </c>
      <c r="C17" s="172" t="s">
        <v>184</v>
      </c>
      <c r="D17" s="172">
        <v>6</v>
      </c>
      <c r="E17" s="172" t="s">
        <v>207</v>
      </c>
      <c r="F17" s="172" t="s">
        <v>208</v>
      </c>
      <c r="G17" s="172" t="s">
        <v>209</v>
      </c>
      <c r="H17" s="172" t="s">
        <v>210</v>
      </c>
      <c r="I17" s="172"/>
      <c r="J17" s="7" t="s">
        <v>189</v>
      </c>
      <c r="K17" s="172" t="s">
        <v>123</v>
      </c>
      <c r="L17" s="172" t="s">
        <v>394</v>
      </c>
      <c r="M17" s="178" t="s">
        <v>191</v>
      </c>
      <c r="N17" s="178" t="s">
        <v>191</v>
      </c>
      <c r="O17" s="29"/>
      <c r="P17" s="29"/>
      <c r="Q17" s="29"/>
      <c r="R17" s="178" t="s">
        <v>191</v>
      </c>
      <c r="S17" s="178" t="s">
        <v>191</v>
      </c>
      <c r="T17" s="178" t="s">
        <v>191</v>
      </c>
      <c r="U17" s="178"/>
      <c r="V17" s="178" t="s">
        <v>191</v>
      </c>
      <c r="W17" s="178"/>
      <c r="X17" s="178" t="s">
        <v>191</v>
      </c>
      <c r="Y17" s="178" t="s">
        <v>191</v>
      </c>
      <c r="Z17" s="178" t="s">
        <v>191</v>
      </c>
    </row>
    <row r="18" spans="1:26" s="4" customFormat="1" ht="147" customHeight="1" x14ac:dyDescent="0.25">
      <c r="A18" s="173"/>
      <c r="B18" s="177"/>
      <c r="C18" s="173"/>
      <c r="D18" s="173"/>
      <c r="E18" s="173"/>
      <c r="F18" s="173"/>
      <c r="G18" s="173"/>
      <c r="H18" s="173"/>
      <c r="I18" s="173"/>
      <c r="J18" s="7"/>
      <c r="K18" s="173"/>
      <c r="L18" s="173"/>
      <c r="M18" s="179"/>
      <c r="N18" s="179"/>
      <c r="O18" s="30"/>
      <c r="P18" s="30"/>
      <c r="Q18" s="30"/>
      <c r="R18" s="179"/>
      <c r="S18" s="179"/>
      <c r="T18" s="179"/>
      <c r="U18" s="179"/>
      <c r="V18" s="179"/>
      <c r="W18" s="179"/>
      <c r="X18" s="179"/>
      <c r="Y18" s="179"/>
      <c r="Z18" s="179"/>
    </row>
    <row r="19" spans="1:26" s="4" customFormat="1" ht="147.75" customHeight="1" x14ac:dyDescent="0.25">
      <c r="A19" s="6" t="s">
        <v>179</v>
      </c>
      <c r="B19" s="33" t="s">
        <v>395</v>
      </c>
      <c r="C19" s="7" t="s">
        <v>184</v>
      </c>
      <c r="D19" s="7">
        <v>4</v>
      </c>
      <c r="E19" s="6" t="s">
        <v>396</v>
      </c>
      <c r="F19" s="7" t="s">
        <v>185</v>
      </c>
      <c r="G19" s="7" t="s">
        <v>219</v>
      </c>
      <c r="H19" s="7" t="s">
        <v>397</v>
      </c>
      <c r="I19" s="7" t="s">
        <v>221</v>
      </c>
      <c r="J19" s="7" t="s">
        <v>189</v>
      </c>
      <c r="K19" s="7" t="s">
        <v>123</v>
      </c>
      <c r="L19" s="18" t="s">
        <v>191</v>
      </c>
      <c r="M19" s="28" t="s">
        <v>398</v>
      </c>
      <c r="N19" s="8" t="s">
        <v>399</v>
      </c>
      <c r="O19" s="8"/>
      <c r="P19" s="8"/>
      <c r="Q19" s="8"/>
      <c r="R19" s="8" t="s">
        <v>223</v>
      </c>
      <c r="S19" s="26">
        <v>0.9</v>
      </c>
      <c r="T19" s="8" t="s">
        <v>400</v>
      </c>
      <c r="U19" s="8"/>
      <c r="V19" s="15">
        <v>105</v>
      </c>
      <c r="W19" s="15"/>
      <c r="X19" s="18" t="s">
        <v>191</v>
      </c>
      <c r="Y19" s="8" t="s">
        <v>401</v>
      </c>
      <c r="Z19" s="8" t="s">
        <v>402</v>
      </c>
    </row>
    <row r="20" spans="1:26" s="4" customFormat="1" ht="156.75" x14ac:dyDescent="0.25">
      <c r="A20" s="6" t="s">
        <v>179</v>
      </c>
      <c r="B20" s="33" t="s">
        <v>395</v>
      </c>
      <c r="C20" s="7" t="s">
        <v>230</v>
      </c>
      <c r="D20" s="7">
        <v>4</v>
      </c>
      <c r="E20" s="18" t="s">
        <v>191</v>
      </c>
      <c r="F20" s="7" t="s">
        <v>231</v>
      </c>
      <c r="G20" s="7" t="s">
        <v>209</v>
      </c>
      <c r="H20" s="19" t="s">
        <v>191</v>
      </c>
      <c r="I20" s="7"/>
      <c r="J20" s="7"/>
      <c r="K20" s="7" t="s">
        <v>366</v>
      </c>
      <c r="L20" s="8" t="s">
        <v>233</v>
      </c>
      <c r="M20" s="7"/>
      <c r="N20" s="8" t="s">
        <v>403</v>
      </c>
      <c r="O20" s="8"/>
      <c r="P20" s="8"/>
      <c r="Q20" s="8"/>
      <c r="R20" s="8" t="s">
        <v>404</v>
      </c>
      <c r="S20" s="18" t="s">
        <v>191</v>
      </c>
      <c r="T20" s="8" t="s">
        <v>405</v>
      </c>
      <c r="U20" s="8"/>
      <c r="V20" s="15">
        <v>200</v>
      </c>
      <c r="W20" s="15"/>
      <c r="X20" s="20" t="s">
        <v>406</v>
      </c>
      <c r="Y20" s="18" t="s">
        <v>191</v>
      </c>
      <c r="Z20" s="17" t="s">
        <v>407</v>
      </c>
    </row>
    <row r="21" spans="1:26" s="4" customFormat="1" ht="147.75" customHeight="1" x14ac:dyDescent="0.25">
      <c r="A21" s="6" t="s">
        <v>179</v>
      </c>
      <c r="B21" s="33" t="s">
        <v>395</v>
      </c>
      <c r="C21" s="7" t="s">
        <v>184</v>
      </c>
      <c r="D21" s="7">
        <v>13</v>
      </c>
      <c r="E21" s="6" t="s">
        <v>408</v>
      </c>
      <c r="F21" s="7" t="s">
        <v>241</v>
      </c>
      <c r="G21" s="7" t="s">
        <v>209</v>
      </c>
      <c r="H21" s="7"/>
      <c r="I21" s="7"/>
      <c r="J21" s="7" t="s">
        <v>189</v>
      </c>
      <c r="K21" s="7" t="s">
        <v>409</v>
      </c>
      <c r="L21" s="18" t="s">
        <v>410</v>
      </c>
      <c r="M21" s="7"/>
      <c r="N21" s="18" t="s">
        <v>191</v>
      </c>
      <c r="O21" s="18"/>
      <c r="P21" s="18"/>
      <c r="Q21" s="18"/>
      <c r="R21" s="18" t="s">
        <v>191</v>
      </c>
      <c r="S21" s="18" t="s">
        <v>191</v>
      </c>
      <c r="T21" s="18" t="s">
        <v>411</v>
      </c>
      <c r="U21" s="18"/>
      <c r="V21" s="18" t="s">
        <v>191</v>
      </c>
      <c r="W21" s="18"/>
      <c r="X21" s="18" t="s">
        <v>191</v>
      </c>
      <c r="Y21" s="18" t="s">
        <v>191</v>
      </c>
      <c r="Z21" s="18" t="s">
        <v>191</v>
      </c>
    </row>
    <row r="22" spans="1:26" s="4" customFormat="1" ht="147.75" customHeight="1" x14ac:dyDescent="0.25">
      <c r="A22" s="6" t="s">
        <v>179</v>
      </c>
      <c r="B22" s="33" t="s">
        <v>412</v>
      </c>
      <c r="C22" s="7" t="s">
        <v>184</v>
      </c>
      <c r="D22" s="7">
        <v>2</v>
      </c>
      <c r="E22" s="6" t="s">
        <v>413</v>
      </c>
      <c r="F22" s="7" t="s">
        <v>185</v>
      </c>
      <c r="G22" s="7" t="s">
        <v>388</v>
      </c>
      <c r="H22" s="7" t="s">
        <v>414</v>
      </c>
      <c r="I22" s="7" t="s">
        <v>188</v>
      </c>
      <c r="J22" s="7" t="s">
        <v>189</v>
      </c>
      <c r="K22" s="7" t="s">
        <v>123</v>
      </c>
      <c r="L22" s="6"/>
      <c r="M22" s="7"/>
      <c r="N22" s="8" t="s">
        <v>415</v>
      </c>
      <c r="O22" s="8"/>
      <c r="P22" s="8"/>
      <c r="Q22" s="8"/>
      <c r="R22" s="8" t="s">
        <v>194</v>
      </c>
      <c r="S22" s="14">
        <v>0.55000000000000004</v>
      </c>
      <c r="T22" s="8" t="s">
        <v>391</v>
      </c>
      <c r="U22" s="8"/>
      <c r="V22" s="15">
        <v>150</v>
      </c>
      <c r="W22" s="15"/>
      <c r="X22" s="16" t="s">
        <v>197</v>
      </c>
      <c r="Y22" s="8" t="s">
        <v>416</v>
      </c>
      <c r="Z22" s="17" t="s">
        <v>199</v>
      </c>
    </row>
    <row r="23" spans="1:26" s="4" customFormat="1" ht="147.75" customHeight="1" x14ac:dyDescent="0.25">
      <c r="A23" s="6" t="s">
        <v>179</v>
      </c>
      <c r="B23" s="33" t="s">
        <v>412</v>
      </c>
      <c r="C23" s="7" t="s">
        <v>184</v>
      </c>
      <c r="D23" s="7">
        <v>7</v>
      </c>
      <c r="E23" s="6" t="s">
        <v>207</v>
      </c>
      <c r="F23" s="7" t="s">
        <v>208</v>
      </c>
      <c r="G23" s="7" t="s">
        <v>209</v>
      </c>
      <c r="H23" s="7" t="s">
        <v>210</v>
      </c>
      <c r="I23" s="7"/>
      <c r="J23" s="7" t="s">
        <v>189</v>
      </c>
      <c r="K23" s="7" t="s">
        <v>409</v>
      </c>
      <c r="L23" s="6" t="s">
        <v>410</v>
      </c>
      <c r="M23" s="7"/>
      <c r="N23" s="18" t="s">
        <v>191</v>
      </c>
      <c r="O23" s="18"/>
      <c r="P23" s="18"/>
      <c r="Q23" s="18"/>
      <c r="R23" s="18" t="s">
        <v>191</v>
      </c>
      <c r="S23" s="18" t="s">
        <v>191</v>
      </c>
      <c r="T23" s="18" t="s">
        <v>191</v>
      </c>
      <c r="U23" s="18"/>
      <c r="V23" s="18" t="s">
        <v>191</v>
      </c>
      <c r="W23" s="18"/>
      <c r="X23" s="18" t="s">
        <v>191</v>
      </c>
      <c r="Y23" s="18" t="s">
        <v>191</v>
      </c>
      <c r="Z23" s="18" t="s">
        <v>191</v>
      </c>
    </row>
    <row r="24" spans="1:26" s="4" customFormat="1" ht="147.75" customHeight="1" x14ac:dyDescent="0.25">
      <c r="A24" s="6" t="s">
        <v>179</v>
      </c>
      <c r="B24" s="33" t="s">
        <v>417</v>
      </c>
      <c r="C24" s="7" t="s">
        <v>184</v>
      </c>
      <c r="D24" s="7">
        <v>1</v>
      </c>
      <c r="E24" s="6" t="s">
        <v>413</v>
      </c>
      <c r="F24" s="7" t="s">
        <v>185</v>
      </c>
      <c r="G24" s="7" t="s">
        <v>388</v>
      </c>
      <c r="H24" s="7" t="s">
        <v>414</v>
      </c>
      <c r="I24" s="7" t="s">
        <v>188</v>
      </c>
      <c r="J24" s="7" t="s">
        <v>189</v>
      </c>
      <c r="K24" s="7" t="s">
        <v>130</v>
      </c>
      <c r="L24" s="9" t="s">
        <v>190</v>
      </c>
      <c r="M24" s="7"/>
      <c r="N24" s="8" t="s">
        <v>418</v>
      </c>
      <c r="O24" s="8"/>
      <c r="P24" s="8"/>
      <c r="Q24" s="8"/>
      <c r="R24" s="8" t="s">
        <v>194</v>
      </c>
      <c r="S24" s="14">
        <v>0.55000000000000004</v>
      </c>
      <c r="T24" s="8" t="s">
        <v>391</v>
      </c>
      <c r="U24" s="8"/>
      <c r="V24" s="15">
        <v>75</v>
      </c>
      <c r="W24" s="15"/>
      <c r="X24" s="16" t="s">
        <v>197</v>
      </c>
      <c r="Y24" s="8" t="s">
        <v>416</v>
      </c>
      <c r="Z24" s="17" t="s">
        <v>199</v>
      </c>
    </row>
    <row r="25" spans="1:26" s="4" customFormat="1" ht="147.75" customHeight="1" x14ac:dyDescent="0.25">
      <c r="A25" s="6" t="s">
        <v>179</v>
      </c>
      <c r="B25" s="33" t="s">
        <v>417</v>
      </c>
      <c r="C25" s="7" t="s">
        <v>184</v>
      </c>
      <c r="D25" s="7">
        <v>6</v>
      </c>
      <c r="E25" s="6" t="s">
        <v>207</v>
      </c>
      <c r="F25" s="7" t="s">
        <v>208</v>
      </c>
      <c r="G25" s="7" t="s">
        <v>209</v>
      </c>
      <c r="H25" s="7" t="s">
        <v>210</v>
      </c>
      <c r="I25" s="7"/>
      <c r="J25" s="7" t="s">
        <v>189</v>
      </c>
      <c r="K25" s="7" t="s">
        <v>409</v>
      </c>
      <c r="L25" s="6" t="s">
        <v>410</v>
      </c>
      <c r="M25" s="7"/>
      <c r="N25" s="18" t="s">
        <v>191</v>
      </c>
      <c r="O25" s="18"/>
      <c r="P25" s="18"/>
      <c r="Q25" s="18"/>
      <c r="R25" s="18" t="s">
        <v>191</v>
      </c>
      <c r="S25" s="18" t="s">
        <v>191</v>
      </c>
      <c r="T25" s="18" t="s">
        <v>191</v>
      </c>
      <c r="U25" s="18"/>
      <c r="V25" s="18" t="s">
        <v>191</v>
      </c>
      <c r="W25" s="18"/>
      <c r="X25" s="18" t="s">
        <v>191</v>
      </c>
      <c r="Y25" s="18" t="s">
        <v>191</v>
      </c>
      <c r="Z25" s="18" t="s">
        <v>191</v>
      </c>
    </row>
    <row r="26" spans="1:26" s="4" customFormat="1" ht="147.75" customHeight="1" x14ac:dyDescent="0.25">
      <c r="A26" s="6" t="s">
        <v>179</v>
      </c>
      <c r="B26" s="33" t="s">
        <v>419</v>
      </c>
      <c r="C26" s="7" t="s">
        <v>184</v>
      </c>
      <c r="D26" s="7">
        <v>1</v>
      </c>
      <c r="E26" s="6" t="s">
        <v>413</v>
      </c>
      <c r="F26" s="7" t="s">
        <v>185</v>
      </c>
      <c r="G26" s="7" t="s">
        <v>388</v>
      </c>
      <c r="H26" s="7" t="s">
        <v>414</v>
      </c>
      <c r="I26" s="7" t="s">
        <v>188</v>
      </c>
      <c r="J26" s="7" t="s">
        <v>189</v>
      </c>
      <c r="K26" s="7" t="s">
        <v>130</v>
      </c>
      <c r="L26" s="9" t="s">
        <v>190</v>
      </c>
      <c r="M26" s="7"/>
      <c r="N26" s="6"/>
      <c r="O26" s="6"/>
      <c r="P26" s="6"/>
      <c r="Q26" s="6"/>
      <c r="R26" s="6"/>
      <c r="S26" s="6"/>
      <c r="T26" s="6"/>
      <c r="U26" s="6"/>
      <c r="V26" s="6"/>
      <c r="W26" s="6"/>
      <c r="X26" s="6"/>
      <c r="Y26" s="6"/>
      <c r="Z26" s="6"/>
    </row>
    <row r="27" spans="1:26" s="4" customFormat="1" ht="147.75" customHeight="1" x14ac:dyDescent="0.25">
      <c r="A27" s="6" t="s">
        <v>179</v>
      </c>
      <c r="B27" s="33" t="s">
        <v>420</v>
      </c>
      <c r="C27" s="7" t="s">
        <v>184</v>
      </c>
      <c r="D27" s="7">
        <v>4</v>
      </c>
      <c r="E27" s="6" t="s">
        <v>207</v>
      </c>
      <c r="F27" s="7" t="s">
        <v>208</v>
      </c>
      <c r="G27" s="7" t="s">
        <v>209</v>
      </c>
      <c r="H27" s="7" t="s">
        <v>210</v>
      </c>
      <c r="I27" s="7"/>
      <c r="J27" s="7" t="s">
        <v>189</v>
      </c>
      <c r="K27" s="7" t="s">
        <v>409</v>
      </c>
      <c r="L27" s="6"/>
      <c r="M27" s="7"/>
      <c r="N27" s="6"/>
      <c r="O27" s="6"/>
      <c r="P27" s="6"/>
      <c r="Q27" s="6"/>
      <c r="R27" s="6"/>
      <c r="S27" s="6"/>
      <c r="T27" s="6"/>
      <c r="U27" s="6"/>
      <c r="V27" s="6"/>
      <c r="W27" s="6"/>
      <c r="X27" s="6"/>
      <c r="Y27" s="6"/>
      <c r="Z27" s="6"/>
    </row>
    <row r="28" spans="1:26" s="4" customFormat="1" ht="147.75" customHeight="1" x14ac:dyDescent="0.25">
      <c r="A28" s="6" t="s">
        <v>179</v>
      </c>
      <c r="B28" s="89" t="s">
        <v>421</v>
      </c>
      <c r="C28" s="7" t="s">
        <v>184</v>
      </c>
      <c r="D28" s="7">
        <v>2</v>
      </c>
      <c r="E28" s="6"/>
      <c r="F28" s="7" t="s">
        <v>241</v>
      </c>
      <c r="G28" s="7" t="s">
        <v>219</v>
      </c>
      <c r="H28" s="7"/>
      <c r="I28" s="7" t="s">
        <v>261</v>
      </c>
      <c r="J28" s="7"/>
      <c r="K28" s="7" t="s">
        <v>123</v>
      </c>
      <c r="L28" s="6"/>
      <c r="M28" s="7"/>
      <c r="N28" s="6"/>
      <c r="O28" s="6"/>
      <c r="P28" s="6"/>
      <c r="Q28" s="6"/>
      <c r="R28" s="6"/>
      <c r="S28" s="6"/>
      <c r="T28" s="6"/>
      <c r="U28" s="6"/>
      <c r="V28" s="6"/>
      <c r="W28" s="6"/>
      <c r="X28" s="6"/>
      <c r="Y28" s="6"/>
      <c r="Z28" s="6"/>
    </row>
    <row r="29" spans="1:26" s="4" customFormat="1" ht="147.75" customHeight="1" x14ac:dyDescent="0.25">
      <c r="A29" s="6" t="s">
        <v>179</v>
      </c>
      <c r="B29" s="89" t="s">
        <v>422</v>
      </c>
      <c r="C29" s="7" t="s">
        <v>184</v>
      </c>
      <c r="D29" s="7">
        <v>5</v>
      </c>
      <c r="E29" s="6"/>
      <c r="F29" s="7" t="s">
        <v>241</v>
      </c>
      <c r="G29" s="7" t="s">
        <v>219</v>
      </c>
      <c r="H29" s="7"/>
      <c r="I29" s="7" t="s">
        <v>261</v>
      </c>
      <c r="J29" s="7"/>
      <c r="K29" s="7" t="s">
        <v>123</v>
      </c>
      <c r="L29" s="6" t="s">
        <v>269</v>
      </c>
      <c r="M29" s="7"/>
      <c r="N29" s="6"/>
      <c r="O29" s="6"/>
      <c r="P29" s="6"/>
      <c r="Q29" s="6"/>
      <c r="R29" s="6"/>
      <c r="S29" s="6"/>
      <c r="T29" s="6"/>
      <c r="U29" s="6"/>
      <c r="V29" s="6"/>
      <c r="W29" s="6"/>
      <c r="X29" s="6"/>
      <c r="Y29" s="6"/>
      <c r="Z29" s="6"/>
    </row>
    <row r="30" spans="1:26" s="4" customFormat="1" ht="147.75" customHeight="1" x14ac:dyDescent="0.25">
      <c r="A30" s="6" t="s">
        <v>179</v>
      </c>
      <c r="B30" s="89" t="s">
        <v>423</v>
      </c>
      <c r="C30" s="7" t="s">
        <v>184</v>
      </c>
      <c r="D30" s="7">
        <v>5</v>
      </c>
      <c r="E30" s="6"/>
      <c r="F30" s="7" t="s">
        <v>241</v>
      </c>
      <c r="G30" s="7" t="s">
        <v>209</v>
      </c>
      <c r="H30" s="7"/>
      <c r="I30" s="7"/>
      <c r="J30" s="7"/>
      <c r="K30" s="7" t="s">
        <v>123</v>
      </c>
      <c r="L30" s="6" t="s">
        <v>269</v>
      </c>
      <c r="M30" s="7"/>
      <c r="N30" s="6"/>
      <c r="O30" s="6"/>
      <c r="P30" s="6"/>
      <c r="Q30" s="6"/>
      <c r="R30" s="6"/>
      <c r="S30" s="6"/>
      <c r="T30" s="6"/>
      <c r="U30" s="6"/>
      <c r="V30" s="6"/>
      <c r="W30" s="6"/>
      <c r="X30" s="6"/>
      <c r="Y30" s="6"/>
      <c r="Z30" s="6"/>
    </row>
    <row r="31" spans="1:26" s="4" customFormat="1" ht="147.75" customHeight="1" x14ac:dyDescent="0.25">
      <c r="A31" s="6" t="s">
        <v>271</v>
      </c>
      <c r="B31" s="89" t="s">
        <v>424</v>
      </c>
      <c r="C31" s="7" t="s">
        <v>184</v>
      </c>
      <c r="D31" s="7">
        <v>15</v>
      </c>
      <c r="E31" s="6" t="s">
        <v>273</v>
      </c>
      <c r="F31" s="7" t="s">
        <v>241</v>
      </c>
      <c r="G31" s="7" t="s">
        <v>219</v>
      </c>
      <c r="H31" s="7" t="s">
        <v>425</v>
      </c>
      <c r="I31" s="7" t="s">
        <v>221</v>
      </c>
      <c r="J31" s="7"/>
      <c r="K31" s="7" t="s">
        <v>130</v>
      </c>
      <c r="L31" s="8" t="s">
        <v>275</v>
      </c>
      <c r="M31" s="7"/>
      <c r="N31" s="6"/>
      <c r="O31" s="6"/>
      <c r="P31" s="6"/>
      <c r="Q31" s="6"/>
      <c r="R31" s="6"/>
      <c r="S31" s="6"/>
      <c r="T31" s="6"/>
      <c r="U31" s="6"/>
      <c r="V31" s="6"/>
      <c r="W31" s="6"/>
      <c r="X31" s="6"/>
      <c r="Y31" s="6"/>
      <c r="Z31" s="6"/>
    </row>
    <row r="32" spans="1:26" s="4" customFormat="1" ht="147.75" customHeight="1" x14ac:dyDescent="0.25">
      <c r="A32" s="6" t="s">
        <v>271</v>
      </c>
      <c r="B32" s="89" t="s">
        <v>426</v>
      </c>
      <c r="C32" s="7" t="s">
        <v>184</v>
      </c>
      <c r="D32" s="7">
        <v>1</v>
      </c>
      <c r="E32" s="6" t="s">
        <v>276</v>
      </c>
      <c r="F32" s="7" t="s">
        <v>185</v>
      </c>
      <c r="G32" s="7" t="s">
        <v>388</v>
      </c>
      <c r="H32" s="7" t="s">
        <v>277</v>
      </c>
      <c r="I32" s="7" t="s">
        <v>188</v>
      </c>
      <c r="J32" s="7"/>
      <c r="K32" s="7" t="s">
        <v>409</v>
      </c>
      <c r="L32" s="6" t="s">
        <v>278</v>
      </c>
      <c r="M32" s="7"/>
      <c r="N32" s="6"/>
      <c r="O32" s="6"/>
      <c r="P32" s="6"/>
      <c r="Q32" s="6"/>
      <c r="R32" s="6"/>
      <c r="S32" s="6"/>
      <c r="T32" s="6"/>
      <c r="U32" s="6"/>
      <c r="V32" s="6"/>
      <c r="W32" s="6"/>
      <c r="X32" s="6"/>
      <c r="Y32" s="6"/>
      <c r="Z32" s="6"/>
    </row>
    <row r="33" spans="1:26" s="4" customFormat="1" ht="147.75" customHeight="1" x14ac:dyDescent="0.25">
      <c r="A33" s="6" t="s">
        <v>271</v>
      </c>
      <c r="B33" s="89" t="s">
        <v>426</v>
      </c>
      <c r="C33" s="7" t="s">
        <v>184</v>
      </c>
      <c r="D33" s="7"/>
      <c r="E33" s="6" t="s">
        <v>279</v>
      </c>
      <c r="F33" s="7" t="s">
        <v>241</v>
      </c>
      <c r="G33" s="7" t="s">
        <v>219</v>
      </c>
      <c r="H33" s="7" t="s">
        <v>427</v>
      </c>
      <c r="I33" s="7" t="s">
        <v>281</v>
      </c>
      <c r="J33" s="7"/>
      <c r="K33" s="7" t="s">
        <v>123</v>
      </c>
      <c r="L33" s="8" t="s">
        <v>282</v>
      </c>
      <c r="M33" s="7"/>
      <c r="N33" s="6"/>
      <c r="O33" s="6"/>
      <c r="P33" s="6"/>
      <c r="Q33" s="6"/>
      <c r="R33" s="6"/>
      <c r="S33" s="6"/>
      <c r="T33" s="6"/>
      <c r="U33" s="6"/>
      <c r="V33" s="6"/>
      <c r="W33" s="6"/>
      <c r="X33" s="6"/>
      <c r="Y33" s="6"/>
      <c r="Z33" s="6"/>
    </row>
    <row r="34" spans="1:26" s="4" customFormat="1" ht="147.75" customHeight="1" x14ac:dyDescent="0.25">
      <c r="A34" s="6" t="s">
        <v>271</v>
      </c>
      <c r="B34" s="89" t="s">
        <v>426</v>
      </c>
      <c r="C34" s="7" t="s">
        <v>184</v>
      </c>
      <c r="D34" s="7"/>
      <c r="E34" s="6" t="s">
        <v>279</v>
      </c>
      <c r="F34" s="7" t="s">
        <v>241</v>
      </c>
      <c r="G34" s="7" t="s">
        <v>219</v>
      </c>
      <c r="H34" s="7" t="s">
        <v>427</v>
      </c>
      <c r="I34" s="7" t="s">
        <v>281</v>
      </c>
      <c r="J34" s="7"/>
      <c r="K34" s="7" t="s">
        <v>123</v>
      </c>
      <c r="L34" s="6" t="s">
        <v>284</v>
      </c>
      <c r="M34" s="7"/>
      <c r="N34" s="6"/>
      <c r="O34" s="6"/>
      <c r="P34" s="6"/>
      <c r="Q34" s="6"/>
      <c r="R34" s="6"/>
      <c r="S34" s="6"/>
      <c r="T34" s="6"/>
      <c r="U34" s="6"/>
      <c r="V34" s="6"/>
      <c r="W34" s="6"/>
      <c r="X34" s="6"/>
      <c r="Y34" s="6"/>
      <c r="Z34" s="6"/>
    </row>
    <row r="35" spans="1:26" s="4" customFormat="1" ht="147.75" customHeight="1" x14ac:dyDescent="0.25">
      <c r="A35" s="6" t="s">
        <v>271</v>
      </c>
      <c r="B35" s="89" t="s">
        <v>287</v>
      </c>
      <c r="C35" s="7" t="s">
        <v>184</v>
      </c>
      <c r="D35" s="7">
        <v>3</v>
      </c>
      <c r="E35" s="6" t="s">
        <v>273</v>
      </c>
      <c r="F35" s="7" t="s">
        <v>241</v>
      </c>
      <c r="G35" s="7" t="s">
        <v>219</v>
      </c>
      <c r="H35" s="7" t="s">
        <v>425</v>
      </c>
      <c r="I35" s="7" t="s">
        <v>221</v>
      </c>
      <c r="J35" s="7"/>
      <c r="K35" s="7" t="s">
        <v>130</v>
      </c>
      <c r="L35" s="6"/>
      <c r="M35" s="7"/>
      <c r="N35" s="6"/>
      <c r="O35" s="6"/>
      <c r="P35" s="6"/>
      <c r="Q35" s="6"/>
      <c r="R35" s="6"/>
      <c r="S35" s="6"/>
      <c r="T35" s="6"/>
      <c r="U35" s="6"/>
      <c r="V35" s="6"/>
      <c r="W35" s="6"/>
      <c r="X35" s="6"/>
      <c r="Y35" s="6"/>
      <c r="Z35" s="6"/>
    </row>
    <row r="36" spans="1:26" s="4" customFormat="1" ht="147.75" customHeight="1" x14ac:dyDescent="0.25">
      <c r="A36" s="6" t="s">
        <v>271</v>
      </c>
      <c r="B36" s="89" t="s">
        <v>426</v>
      </c>
      <c r="C36" s="7" t="s">
        <v>184</v>
      </c>
      <c r="D36" s="7">
        <v>1</v>
      </c>
      <c r="E36" s="6" t="s">
        <v>289</v>
      </c>
      <c r="F36" s="7" t="s">
        <v>185</v>
      </c>
      <c r="G36" s="7"/>
      <c r="H36" s="7" t="s">
        <v>290</v>
      </c>
      <c r="I36" s="7" t="s">
        <v>221</v>
      </c>
      <c r="J36" s="7"/>
      <c r="K36" s="7" t="s">
        <v>409</v>
      </c>
      <c r="L36" s="6" t="s">
        <v>291</v>
      </c>
      <c r="M36" s="7"/>
      <c r="N36" s="6"/>
      <c r="O36" s="6"/>
      <c r="P36" s="6"/>
      <c r="Q36" s="6"/>
      <c r="R36" s="6"/>
      <c r="S36" s="6"/>
      <c r="T36" s="6"/>
      <c r="U36" s="6"/>
      <c r="V36" s="6"/>
      <c r="W36" s="6"/>
      <c r="X36" s="6"/>
      <c r="Y36" s="6"/>
      <c r="Z36" s="6"/>
    </row>
    <row r="37" spans="1:26" s="4" customFormat="1" ht="147.75" customHeight="1" x14ac:dyDescent="0.25">
      <c r="A37" s="6" t="s">
        <v>271</v>
      </c>
      <c r="B37" s="89" t="s">
        <v>428</v>
      </c>
      <c r="C37" s="7" t="s">
        <v>184</v>
      </c>
      <c r="D37" s="7">
        <v>1</v>
      </c>
      <c r="E37" s="6" t="s">
        <v>294</v>
      </c>
      <c r="F37" s="7" t="s">
        <v>241</v>
      </c>
      <c r="G37" s="7" t="s">
        <v>388</v>
      </c>
      <c r="H37" s="7" t="s">
        <v>429</v>
      </c>
      <c r="I37" s="7" t="s">
        <v>188</v>
      </c>
      <c r="J37" s="7"/>
      <c r="K37" s="7" t="s">
        <v>125</v>
      </c>
      <c r="L37" s="6" t="s">
        <v>296</v>
      </c>
      <c r="M37" s="7"/>
      <c r="N37" s="6"/>
      <c r="O37" s="6"/>
      <c r="P37" s="6"/>
      <c r="Q37" s="6"/>
      <c r="R37" s="6"/>
      <c r="S37" s="6"/>
      <c r="T37" s="6"/>
      <c r="U37" s="6"/>
      <c r="V37" s="6"/>
      <c r="W37" s="6"/>
      <c r="X37" s="6"/>
      <c r="Y37" s="6"/>
      <c r="Z37" s="6"/>
    </row>
    <row r="38" spans="1:26" s="4" customFormat="1" ht="147.75" customHeight="1" x14ac:dyDescent="0.25">
      <c r="A38" s="6" t="s">
        <v>271</v>
      </c>
      <c r="B38" s="89" t="s">
        <v>428</v>
      </c>
      <c r="C38" s="7" t="s">
        <v>184</v>
      </c>
      <c r="D38" s="7">
        <v>1</v>
      </c>
      <c r="E38" s="6" t="s">
        <v>298</v>
      </c>
      <c r="F38" s="7" t="s">
        <v>241</v>
      </c>
      <c r="G38" s="7" t="s">
        <v>388</v>
      </c>
      <c r="H38" s="7" t="s">
        <v>430</v>
      </c>
      <c r="I38" s="7" t="s">
        <v>188</v>
      </c>
      <c r="J38" s="7"/>
      <c r="K38" s="7" t="s">
        <v>125</v>
      </c>
      <c r="L38" s="6"/>
      <c r="M38" s="7"/>
      <c r="N38" s="6"/>
      <c r="O38" s="6"/>
      <c r="P38" s="6"/>
      <c r="Q38" s="6"/>
      <c r="R38" s="6"/>
      <c r="S38" s="6"/>
      <c r="T38" s="6"/>
      <c r="U38" s="6"/>
      <c r="V38" s="6"/>
      <c r="W38" s="6"/>
      <c r="X38" s="6"/>
      <c r="Y38" s="6"/>
      <c r="Z38" s="6"/>
    </row>
    <row r="39" spans="1:26" s="4" customFormat="1" ht="147.75" customHeight="1" x14ac:dyDescent="0.25">
      <c r="A39" s="6" t="s">
        <v>271</v>
      </c>
      <c r="B39" s="89" t="s">
        <v>428</v>
      </c>
      <c r="C39" s="7" t="s">
        <v>184</v>
      </c>
      <c r="D39" s="7"/>
      <c r="E39" s="6" t="s">
        <v>301</v>
      </c>
      <c r="F39" s="7" t="s">
        <v>241</v>
      </c>
      <c r="G39" s="7"/>
      <c r="H39" s="7" t="s">
        <v>431</v>
      </c>
      <c r="I39" s="7" t="s">
        <v>188</v>
      </c>
      <c r="J39" s="7"/>
      <c r="K39" s="7" t="s">
        <v>125</v>
      </c>
      <c r="L39" s="6"/>
      <c r="M39" s="7"/>
      <c r="N39" s="6"/>
      <c r="O39" s="6"/>
      <c r="P39" s="6"/>
      <c r="Q39" s="6"/>
      <c r="R39" s="6"/>
      <c r="S39" s="6"/>
      <c r="T39" s="6"/>
      <c r="U39" s="6"/>
      <c r="V39" s="6"/>
      <c r="W39" s="6"/>
      <c r="X39" s="6"/>
      <c r="Y39" s="6"/>
      <c r="Z39" s="6"/>
    </row>
    <row r="40" spans="1:26" s="4" customFormat="1" ht="147.75" customHeight="1" x14ac:dyDescent="0.25">
      <c r="A40" s="6" t="s">
        <v>271</v>
      </c>
      <c r="B40" s="89" t="s">
        <v>432</v>
      </c>
      <c r="C40" s="7" t="s">
        <v>184</v>
      </c>
      <c r="D40" s="7">
        <v>4</v>
      </c>
      <c r="E40" s="6" t="s">
        <v>273</v>
      </c>
      <c r="F40" s="7" t="s">
        <v>241</v>
      </c>
      <c r="G40" s="7" t="s">
        <v>219</v>
      </c>
      <c r="H40" s="7" t="s">
        <v>425</v>
      </c>
      <c r="I40" s="7" t="s">
        <v>221</v>
      </c>
      <c r="J40" s="7"/>
      <c r="K40" s="7" t="s">
        <v>130</v>
      </c>
      <c r="L40" s="6" t="s">
        <v>304</v>
      </c>
      <c r="M40" s="7"/>
      <c r="N40" s="6"/>
      <c r="O40" s="6"/>
      <c r="P40" s="6"/>
      <c r="Q40" s="6"/>
      <c r="R40" s="6"/>
      <c r="S40" s="6"/>
      <c r="T40" s="6"/>
      <c r="U40" s="6"/>
      <c r="V40" s="6"/>
      <c r="W40" s="6"/>
      <c r="X40" s="6"/>
      <c r="Y40" s="6"/>
      <c r="Z40" s="6"/>
    </row>
    <row r="41" spans="1:26" s="4" customFormat="1" ht="147.75" customHeight="1" x14ac:dyDescent="0.25">
      <c r="A41" s="6" t="s">
        <v>271</v>
      </c>
      <c r="B41" s="89" t="s">
        <v>432</v>
      </c>
      <c r="C41" s="7" t="s">
        <v>184</v>
      </c>
      <c r="D41" s="7">
        <v>11</v>
      </c>
      <c r="E41" s="6" t="s">
        <v>279</v>
      </c>
      <c r="F41" s="7" t="s">
        <v>241</v>
      </c>
      <c r="G41" s="7" t="s">
        <v>219</v>
      </c>
      <c r="H41" s="7" t="s">
        <v>305</v>
      </c>
      <c r="I41" s="7" t="s">
        <v>281</v>
      </c>
      <c r="J41" s="7"/>
      <c r="K41" s="7" t="s">
        <v>123</v>
      </c>
      <c r="L41" s="6" t="s">
        <v>306</v>
      </c>
      <c r="M41" s="7"/>
      <c r="N41" s="6"/>
      <c r="O41" s="6"/>
      <c r="P41" s="6"/>
      <c r="Q41" s="6"/>
      <c r="R41" s="6"/>
      <c r="S41" s="6"/>
      <c r="T41" s="6"/>
      <c r="U41" s="6"/>
      <c r="V41" s="6"/>
      <c r="W41" s="6"/>
      <c r="X41" s="6"/>
      <c r="Y41" s="6"/>
      <c r="Z41" s="6"/>
    </row>
    <row r="42" spans="1:26" s="4" customFormat="1" ht="147.75" customHeight="1" x14ac:dyDescent="0.25">
      <c r="A42" s="6" t="s">
        <v>271</v>
      </c>
      <c r="B42" s="89" t="s">
        <v>432</v>
      </c>
      <c r="C42" s="7" t="s">
        <v>184</v>
      </c>
      <c r="D42" s="7">
        <v>1</v>
      </c>
      <c r="E42" s="6" t="s">
        <v>294</v>
      </c>
      <c r="F42" s="7" t="s">
        <v>241</v>
      </c>
      <c r="G42" s="7" t="s">
        <v>388</v>
      </c>
      <c r="H42" s="7" t="s">
        <v>307</v>
      </c>
      <c r="I42" s="7" t="s">
        <v>188</v>
      </c>
      <c r="J42" s="7"/>
      <c r="K42" s="7" t="s">
        <v>125</v>
      </c>
      <c r="L42" s="6" t="s">
        <v>296</v>
      </c>
      <c r="M42" s="7"/>
      <c r="N42" s="6"/>
      <c r="O42" s="6"/>
      <c r="P42" s="6"/>
      <c r="Q42" s="6"/>
      <c r="R42" s="6"/>
      <c r="S42" s="6"/>
      <c r="T42" s="6"/>
      <c r="U42" s="6"/>
      <c r="V42" s="6"/>
      <c r="W42" s="6"/>
      <c r="X42" s="6"/>
      <c r="Y42" s="6"/>
      <c r="Z42" s="6"/>
    </row>
    <row r="43" spans="1:26" s="4" customFormat="1" ht="147.75" customHeight="1" x14ac:dyDescent="0.25">
      <c r="A43" s="6" t="s">
        <v>271</v>
      </c>
      <c r="B43" s="89" t="s">
        <v>433</v>
      </c>
      <c r="C43" s="7" t="s">
        <v>184</v>
      </c>
      <c r="D43" s="7">
        <v>8</v>
      </c>
      <c r="E43" s="6" t="s">
        <v>273</v>
      </c>
      <c r="F43" s="7" t="s">
        <v>241</v>
      </c>
      <c r="G43" s="7" t="s">
        <v>219</v>
      </c>
      <c r="H43" s="7">
        <v>50</v>
      </c>
      <c r="I43" s="7" t="s">
        <v>188</v>
      </c>
      <c r="J43" s="7"/>
      <c r="K43" s="7" t="s">
        <v>130</v>
      </c>
      <c r="L43" s="6"/>
      <c r="M43" s="7"/>
      <c r="N43" s="6"/>
      <c r="O43" s="6"/>
      <c r="P43" s="6"/>
      <c r="Q43" s="6"/>
      <c r="R43" s="6"/>
      <c r="S43" s="6"/>
      <c r="T43" s="6"/>
      <c r="U43" s="6"/>
      <c r="V43" s="6"/>
      <c r="W43" s="6"/>
      <c r="X43" s="6"/>
      <c r="Y43" s="6"/>
      <c r="Z43" s="6"/>
    </row>
    <row r="44" spans="1:26" s="4" customFormat="1" ht="147.75" customHeight="1" x14ac:dyDescent="0.25">
      <c r="A44" s="6" t="s">
        <v>271</v>
      </c>
      <c r="B44" s="89" t="s">
        <v>433</v>
      </c>
      <c r="C44" s="7" t="s">
        <v>184</v>
      </c>
      <c r="D44" s="7"/>
      <c r="E44" s="6" t="s">
        <v>301</v>
      </c>
      <c r="F44" s="7" t="s">
        <v>241</v>
      </c>
      <c r="G44" s="7" t="s">
        <v>388</v>
      </c>
      <c r="H44" s="7" t="s">
        <v>431</v>
      </c>
      <c r="I44" s="7" t="s">
        <v>188</v>
      </c>
      <c r="J44" s="7"/>
      <c r="K44" s="7" t="s">
        <v>125</v>
      </c>
      <c r="L44" s="6" t="s">
        <v>308</v>
      </c>
      <c r="M44" s="7"/>
      <c r="N44" s="6"/>
      <c r="O44" s="6"/>
      <c r="P44" s="6"/>
      <c r="Q44" s="6"/>
      <c r="R44" s="6"/>
      <c r="S44" s="6"/>
      <c r="T44" s="6"/>
      <c r="U44" s="6"/>
      <c r="V44" s="6"/>
      <c r="W44" s="6"/>
      <c r="X44" s="6"/>
      <c r="Y44" s="6"/>
      <c r="Z44" s="6"/>
    </row>
    <row r="45" spans="1:26" s="4" customFormat="1" ht="147.75" customHeight="1" x14ac:dyDescent="0.25">
      <c r="A45" s="6" t="s">
        <v>271</v>
      </c>
      <c r="B45" s="89" t="s">
        <v>433</v>
      </c>
      <c r="C45" s="7" t="s">
        <v>184</v>
      </c>
      <c r="D45" s="7">
        <v>16</v>
      </c>
      <c r="E45" s="6" t="s">
        <v>279</v>
      </c>
      <c r="F45" s="7" t="s">
        <v>241</v>
      </c>
      <c r="G45" s="7" t="s">
        <v>219</v>
      </c>
      <c r="H45" s="7" t="s">
        <v>427</v>
      </c>
      <c r="I45" s="7" t="s">
        <v>281</v>
      </c>
      <c r="J45" s="7"/>
      <c r="K45" s="7" t="s">
        <v>123</v>
      </c>
      <c r="L45" s="6" t="s">
        <v>306</v>
      </c>
      <c r="M45" s="7"/>
      <c r="N45" s="6"/>
      <c r="O45" s="6"/>
      <c r="P45" s="6"/>
      <c r="Q45" s="6"/>
      <c r="R45" s="6"/>
      <c r="S45" s="6"/>
      <c r="T45" s="6"/>
      <c r="U45" s="6"/>
      <c r="V45" s="6"/>
      <c r="W45" s="6"/>
      <c r="X45" s="6"/>
      <c r="Y45" s="6"/>
      <c r="Z45" s="6"/>
    </row>
    <row r="46" spans="1:26" s="4" customFormat="1" ht="147.75" customHeight="1" x14ac:dyDescent="0.25">
      <c r="A46" s="6" t="s">
        <v>271</v>
      </c>
      <c r="B46" s="89" t="s">
        <v>434</v>
      </c>
      <c r="C46" s="7" t="s">
        <v>184</v>
      </c>
      <c r="D46" s="7">
        <v>3</v>
      </c>
      <c r="E46" s="6" t="s">
        <v>273</v>
      </c>
      <c r="F46" s="7" t="s">
        <v>241</v>
      </c>
      <c r="G46" s="7" t="s">
        <v>219</v>
      </c>
      <c r="H46" s="7" t="s">
        <v>425</v>
      </c>
      <c r="I46" s="7" t="s">
        <v>221</v>
      </c>
      <c r="J46" s="7"/>
      <c r="K46" s="7" t="s">
        <v>130</v>
      </c>
      <c r="L46" s="6"/>
      <c r="M46" s="7"/>
      <c r="N46" s="6"/>
      <c r="O46" s="6"/>
      <c r="P46" s="6"/>
      <c r="Q46" s="6"/>
      <c r="R46" s="6"/>
      <c r="S46" s="6"/>
      <c r="T46" s="6"/>
      <c r="U46" s="6"/>
      <c r="V46" s="6"/>
      <c r="W46" s="6"/>
      <c r="X46" s="6"/>
      <c r="Y46" s="6"/>
      <c r="Z46" s="6"/>
    </row>
    <row r="47" spans="1:26" s="4" customFormat="1" ht="147.75" customHeight="1" x14ac:dyDescent="0.25">
      <c r="A47" s="6" t="s">
        <v>271</v>
      </c>
      <c r="B47" s="89" t="s">
        <v>435</v>
      </c>
      <c r="C47" s="7" t="s">
        <v>310</v>
      </c>
      <c r="D47" s="7">
        <v>1</v>
      </c>
      <c r="E47" s="6" t="s">
        <v>273</v>
      </c>
      <c r="F47" s="7"/>
      <c r="G47" s="7" t="s">
        <v>312</v>
      </c>
      <c r="H47" s="7" t="s">
        <v>436</v>
      </c>
      <c r="I47" s="7" t="s">
        <v>314</v>
      </c>
      <c r="J47" s="7"/>
      <c r="K47" s="7" t="s">
        <v>366</v>
      </c>
      <c r="L47" s="6"/>
      <c r="M47" s="7"/>
      <c r="N47" s="6"/>
      <c r="O47" s="6"/>
      <c r="P47" s="6"/>
      <c r="Q47" s="6"/>
      <c r="R47" s="6"/>
      <c r="S47" s="6"/>
      <c r="T47" s="6"/>
      <c r="U47" s="6"/>
      <c r="V47" s="6"/>
      <c r="W47" s="6"/>
      <c r="X47" s="6"/>
      <c r="Y47" s="6"/>
      <c r="Z47" s="6"/>
    </row>
    <row r="48" spans="1:26" s="4" customFormat="1" ht="147.75" customHeight="1" x14ac:dyDescent="0.25">
      <c r="A48" s="6" t="s">
        <v>271</v>
      </c>
      <c r="B48" s="89" t="s">
        <v>434</v>
      </c>
      <c r="C48" s="7" t="s">
        <v>184</v>
      </c>
      <c r="D48" s="7">
        <v>5</v>
      </c>
      <c r="E48" s="6" t="s">
        <v>279</v>
      </c>
      <c r="F48" s="7" t="s">
        <v>241</v>
      </c>
      <c r="G48" s="7" t="s">
        <v>219</v>
      </c>
      <c r="H48" s="7" t="s">
        <v>427</v>
      </c>
      <c r="I48" s="7" t="s">
        <v>281</v>
      </c>
      <c r="J48" s="7"/>
      <c r="K48" s="7" t="s">
        <v>123</v>
      </c>
      <c r="L48" s="6" t="s">
        <v>306</v>
      </c>
      <c r="M48" s="7"/>
      <c r="N48" s="6"/>
      <c r="O48" s="6"/>
      <c r="P48" s="6"/>
      <c r="Q48" s="6"/>
      <c r="R48" s="6"/>
      <c r="S48" s="6"/>
      <c r="T48" s="6"/>
      <c r="U48" s="6"/>
      <c r="V48" s="6"/>
      <c r="W48" s="6"/>
      <c r="X48" s="6"/>
      <c r="Y48" s="6"/>
      <c r="Z48" s="6"/>
    </row>
    <row r="49" spans="1:26" s="4" customFormat="1" ht="147.75" customHeight="1" x14ac:dyDescent="0.25">
      <c r="A49" s="6" t="s">
        <v>271</v>
      </c>
      <c r="B49" s="89" t="s">
        <v>434</v>
      </c>
      <c r="C49" s="7" t="s">
        <v>184</v>
      </c>
      <c r="D49" s="7">
        <v>3</v>
      </c>
      <c r="E49" s="6" t="s">
        <v>301</v>
      </c>
      <c r="F49" s="7" t="s">
        <v>241</v>
      </c>
      <c r="G49" s="7" t="s">
        <v>388</v>
      </c>
      <c r="H49" s="7" t="s">
        <v>431</v>
      </c>
      <c r="I49" s="7" t="s">
        <v>188</v>
      </c>
      <c r="J49" s="7"/>
      <c r="K49" s="7" t="s">
        <v>125</v>
      </c>
      <c r="L49" s="6" t="s">
        <v>296</v>
      </c>
      <c r="M49" s="7"/>
      <c r="N49" s="6"/>
      <c r="O49" s="6"/>
      <c r="P49" s="6"/>
      <c r="Q49" s="6"/>
      <c r="R49" s="6"/>
      <c r="S49" s="6"/>
      <c r="T49" s="6"/>
      <c r="U49" s="6"/>
      <c r="V49" s="6"/>
      <c r="W49" s="6"/>
      <c r="X49" s="6"/>
      <c r="Y49" s="6"/>
      <c r="Z49" s="6"/>
    </row>
    <row r="50" spans="1:26" s="4" customFormat="1" ht="147.75" customHeight="1" x14ac:dyDescent="0.25">
      <c r="A50" s="6" t="s">
        <v>271</v>
      </c>
      <c r="B50" s="89" t="s">
        <v>437</v>
      </c>
      <c r="C50" s="7" t="s">
        <v>184</v>
      </c>
      <c r="D50" s="7">
        <v>5</v>
      </c>
      <c r="E50" s="6" t="s">
        <v>279</v>
      </c>
      <c r="F50" s="7" t="s">
        <v>241</v>
      </c>
      <c r="G50" s="7" t="s">
        <v>219</v>
      </c>
      <c r="H50" s="7" t="s">
        <v>427</v>
      </c>
      <c r="I50" s="7" t="s">
        <v>281</v>
      </c>
      <c r="J50" s="7"/>
      <c r="K50" s="7" t="s">
        <v>123</v>
      </c>
      <c r="L50" s="6"/>
      <c r="M50" s="7"/>
      <c r="N50" s="6"/>
      <c r="O50" s="6"/>
      <c r="P50" s="6"/>
      <c r="Q50" s="6"/>
      <c r="R50" s="6"/>
      <c r="S50" s="6"/>
      <c r="T50" s="6"/>
      <c r="U50" s="6"/>
      <c r="V50" s="6"/>
      <c r="W50" s="6"/>
      <c r="X50" s="6"/>
      <c r="Y50" s="6"/>
      <c r="Z50" s="6"/>
    </row>
    <row r="51" spans="1:26" s="4" customFormat="1" ht="147.75" customHeight="1" x14ac:dyDescent="0.25">
      <c r="A51" s="6" t="s">
        <v>271</v>
      </c>
      <c r="B51" s="89" t="s">
        <v>438</v>
      </c>
      <c r="C51" s="7" t="s">
        <v>184</v>
      </c>
      <c r="D51" s="7">
        <v>8</v>
      </c>
      <c r="E51" s="6" t="s">
        <v>317</v>
      </c>
      <c r="F51" s="7" t="s">
        <v>241</v>
      </c>
      <c r="G51" s="7" t="s">
        <v>388</v>
      </c>
      <c r="H51" s="7">
        <v>830</v>
      </c>
      <c r="I51" s="7" t="s">
        <v>318</v>
      </c>
      <c r="J51" s="7"/>
      <c r="K51" s="7" t="s">
        <v>125</v>
      </c>
      <c r="L51" s="6"/>
      <c r="M51" s="7"/>
      <c r="N51" s="6"/>
      <c r="O51" s="6"/>
      <c r="P51" s="6"/>
      <c r="Q51" s="6"/>
      <c r="R51" s="6"/>
      <c r="S51" s="6"/>
      <c r="T51" s="6"/>
      <c r="U51" s="6"/>
      <c r="V51" s="6"/>
      <c r="W51" s="6"/>
      <c r="X51" s="6"/>
      <c r="Y51" s="6"/>
      <c r="Z51" s="6"/>
    </row>
    <row r="52" spans="1:26" s="4" customFormat="1" ht="147.75" customHeight="1" x14ac:dyDescent="0.25">
      <c r="A52" s="6" t="s">
        <v>271</v>
      </c>
      <c r="B52" s="89" t="s">
        <v>439</v>
      </c>
      <c r="C52" s="7" t="s">
        <v>184</v>
      </c>
      <c r="D52" s="7">
        <v>14</v>
      </c>
      <c r="E52" s="6" t="s">
        <v>317</v>
      </c>
      <c r="F52" s="7" t="s">
        <v>241</v>
      </c>
      <c r="G52" s="7" t="s">
        <v>388</v>
      </c>
      <c r="H52" s="7">
        <v>830</v>
      </c>
      <c r="I52" s="7" t="s">
        <v>318</v>
      </c>
      <c r="J52" s="7"/>
      <c r="K52" s="7" t="s">
        <v>125</v>
      </c>
      <c r="L52" s="6"/>
      <c r="M52" s="7"/>
      <c r="N52" s="6"/>
      <c r="O52" s="6"/>
      <c r="P52" s="6"/>
      <c r="Q52" s="6"/>
      <c r="R52" s="6"/>
      <c r="S52" s="6"/>
      <c r="T52" s="6"/>
      <c r="U52" s="6"/>
      <c r="V52" s="6"/>
      <c r="W52" s="6"/>
      <c r="X52" s="6"/>
      <c r="Y52" s="6"/>
      <c r="Z52" s="6"/>
    </row>
    <row r="53" spans="1:26" s="4" customFormat="1" ht="147.75" customHeight="1" x14ac:dyDescent="0.25">
      <c r="A53" s="6" t="s">
        <v>319</v>
      </c>
      <c r="B53" s="89" t="s">
        <v>440</v>
      </c>
      <c r="C53" s="7" t="s">
        <v>184</v>
      </c>
      <c r="D53" s="7">
        <v>6</v>
      </c>
      <c r="E53" s="6"/>
      <c r="F53" s="7" t="s">
        <v>241</v>
      </c>
      <c r="G53" s="7" t="s">
        <v>388</v>
      </c>
      <c r="H53" s="7" t="s">
        <v>322</v>
      </c>
      <c r="I53" s="7" t="s">
        <v>323</v>
      </c>
      <c r="J53" s="7"/>
      <c r="K53" s="7" t="s">
        <v>125</v>
      </c>
      <c r="L53" s="6" t="s">
        <v>324</v>
      </c>
      <c r="M53" s="7"/>
      <c r="N53" s="6"/>
      <c r="O53" s="6"/>
      <c r="P53" s="6"/>
      <c r="Q53" s="6"/>
      <c r="R53" s="6"/>
      <c r="S53" s="6"/>
      <c r="T53" s="6"/>
      <c r="U53" s="6"/>
      <c r="V53" s="6"/>
      <c r="W53" s="6"/>
      <c r="X53" s="6"/>
      <c r="Y53" s="6"/>
      <c r="Z53" s="6"/>
    </row>
    <row r="54" spans="1:26" s="4" customFormat="1" ht="147.75" customHeight="1" x14ac:dyDescent="0.25">
      <c r="A54" s="6" t="s">
        <v>319</v>
      </c>
      <c r="B54" s="89" t="s">
        <v>325</v>
      </c>
      <c r="C54" s="7" t="s">
        <v>184</v>
      </c>
      <c r="D54" s="7">
        <v>3</v>
      </c>
      <c r="E54" s="6"/>
      <c r="F54" s="7" t="s">
        <v>241</v>
      </c>
      <c r="G54" s="7" t="s">
        <v>388</v>
      </c>
      <c r="H54" s="7" t="s">
        <v>326</v>
      </c>
      <c r="I54" s="7" t="s">
        <v>323</v>
      </c>
      <c r="J54" s="7"/>
      <c r="K54" s="7" t="s">
        <v>125</v>
      </c>
      <c r="L54" s="6"/>
      <c r="M54" s="7"/>
      <c r="N54" s="6"/>
      <c r="O54" s="6"/>
      <c r="P54" s="6"/>
      <c r="Q54" s="6"/>
      <c r="R54" s="6"/>
      <c r="S54" s="6"/>
      <c r="T54" s="6"/>
      <c r="U54" s="6"/>
      <c r="V54" s="6"/>
      <c r="W54" s="6"/>
      <c r="X54" s="6"/>
      <c r="Y54" s="6"/>
      <c r="Z54" s="6"/>
    </row>
    <row r="55" spans="1:26" s="4" customFormat="1" ht="147.75" customHeight="1" x14ac:dyDescent="0.25">
      <c r="A55" s="6" t="s">
        <v>319</v>
      </c>
      <c r="B55" s="89" t="s">
        <v>327</v>
      </c>
      <c r="C55" s="7" t="s">
        <v>184</v>
      </c>
      <c r="D55" s="7">
        <v>6</v>
      </c>
      <c r="E55" s="6"/>
      <c r="F55" s="7" t="s">
        <v>241</v>
      </c>
      <c r="G55" s="7" t="s">
        <v>388</v>
      </c>
      <c r="H55" s="7" t="s">
        <v>326</v>
      </c>
      <c r="I55" s="7" t="s">
        <v>323</v>
      </c>
      <c r="J55" s="7"/>
      <c r="K55" s="7" t="s">
        <v>125</v>
      </c>
      <c r="L55" s="6"/>
      <c r="M55" s="7"/>
      <c r="N55" s="6"/>
      <c r="O55" s="6"/>
      <c r="P55" s="6"/>
      <c r="Q55" s="6"/>
      <c r="R55" s="6"/>
      <c r="S55" s="6"/>
      <c r="T55" s="6"/>
      <c r="U55" s="6"/>
      <c r="V55" s="6"/>
      <c r="W55" s="6"/>
      <c r="X55" s="6"/>
      <c r="Y55" s="6"/>
      <c r="Z55" s="6"/>
    </row>
    <row r="56" spans="1:26" s="4" customFormat="1" ht="147.75" customHeight="1" x14ac:dyDescent="0.25">
      <c r="A56" s="6" t="s">
        <v>319</v>
      </c>
      <c r="B56" s="89" t="s">
        <v>328</v>
      </c>
      <c r="C56" s="7" t="s">
        <v>184</v>
      </c>
      <c r="D56" s="7">
        <v>16</v>
      </c>
      <c r="E56" s="6" t="s">
        <v>273</v>
      </c>
      <c r="F56" s="7" t="s">
        <v>241</v>
      </c>
      <c r="G56" s="7" t="s">
        <v>219</v>
      </c>
      <c r="H56" s="7" t="s">
        <v>425</v>
      </c>
      <c r="I56" s="7" t="s">
        <v>221</v>
      </c>
      <c r="J56" s="7"/>
      <c r="K56" s="7" t="s">
        <v>125</v>
      </c>
      <c r="L56" s="6"/>
      <c r="M56" s="7"/>
      <c r="N56" s="6"/>
      <c r="O56" s="6"/>
      <c r="P56" s="6"/>
      <c r="Q56" s="6"/>
      <c r="R56" s="6"/>
      <c r="S56" s="6"/>
      <c r="T56" s="6"/>
      <c r="U56" s="6"/>
      <c r="V56" s="6"/>
      <c r="W56" s="6"/>
      <c r="X56" s="6"/>
      <c r="Y56" s="6"/>
      <c r="Z56" s="6"/>
    </row>
    <row r="57" spans="1:26" s="4" customFormat="1" ht="147.75" customHeight="1" x14ac:dyDescent="0.25">
      <c r="A57" s="6" t="s">
        <v>319</v>
      </c>
      <c r="B57" s="89" t="s">
        <v>328</v>
      </c>
      <c r="C57" s="7" t="s">
        <v>184</v>
      </c>
      <c r="D57" s="7">
        <v>33</v>
      </c>
      <c r="E57" s="6" t="s">
        <v>279</v>
      </c>
      <c r="F57" s="7" t="s">
        <v>329</v>
      </c>
      <c r="G57" s="7"/>
      <c r="H57" s="7" t="s">
        <v>427</v>
      </c>
      <c r="I57" s="7" t="s">
        <v>281</v>
      </c>
      <c r="J57" s="7"/>
      <c r="K57" s="7" t="s">
        <v>125</v>
      </c>
      <c r="L57" s="6" t="s">
        <v>330</v>
      </c>
      <c r="M57" s="7"/>
      <c r="N57" s="6"/>
      <c r="O57" s="6"/>
      <c r="P57" s="6"/>
      <c r="Q57" s="6"/>
      <c r="R57" s="6"/>
      <c r="S57" s="6"/>
      <c r="T57" s="6"/>
      <c r="U57" s="6"/>
      <c r="V57" s="6"/>
      <c r="W57" s="6"/>
      <c r="X57" s="6"/>
      <c r="Y57" s="6"/>
      <c r="Z57" s="6"/>
    </row>
    <row r="58" spans="1:26" s="4" customFormat="1" ht="147.75" customHeight="1" x14ac:dyDescent="0.25">
      <c r="A58" s="6" t="s">
        <v>319</v>
      </c>
      <c r="B58" s="89" t="s">
        <v>441</v>
      </c>
      <c r="C58" s="7" t="s">
        <v>184</v>
      </c>
      <c r="D58" s="7">
        <v>1</v>
      </c>
      <c r="E58" s="6" t="s">
        <v>279</v>
      </c>
      <c r="F58" s="7" t="s">
        <v>329</v>
      </c>
      <c r="G58" s="7" t="s">
        <v>219</v>
      </c>
      <c r="H58" s="7" t="s">
        <v>427</v>
      </c>
      <c r="I58" s="7" t="s">
        <v>281</v>
      </c>
      <c r="J58" s="7"/>
      <c r="K58" s="7" t="s">
        <v>125</v>
      </c>
      <c r="L58" s="6" t="s">
        <v>332</v>
      </c>
      <c r="M58" s="7"/>
      <c r="N58" s="6"/>
      <c r="O58" s="6"/>
      <c r="P58" s="6"/>
      <c r="Q58" s="6"/>
      <c r="R58" s="6"/>
      <c r="S58" s="6"/>
      <c r="T58" s="6"/>
      <c r="U58" s="6"/>
      <c r="V58" s="6"/>
      <c r="W58" s="6"/>
      <c r="X58" s="6"/>
      <c r="Y58" s="6"/>
      <c r="Z58" s="6"/>
    </row>
    <row r="59" spans="1:26" s="4" customFormat="1" ht="147.75" customHeight="1" x14ac:dyDescent="0.25">
      <c r="A59" s="6" t="s">
        <v>319</v>
      </c>
      <c r="B59" s="89" t="s">
        <v>442</v>
      </c>
      <c r="C59" s="7" t="s">
        <v>184</v>
      </c>
      <c r="D59" s="7">
        <v>15</v>
      </c>
      <c r="E59" s="6" t="s">
        <v>443</v>
      </c>
      <c r="F59" s="7" t="s">
        <v>241</v>
      </c>
      <c r="G59" s="7" t="s">
        <v>219</v>
      </c>
      <c r="H59" s="7" t="s">
        <v>425</v>
      </c>
      <c r="I59" s="7" t="s">
        <v>221</v>
      </c>
      <c r="J59" s="7"/>
      <c r="K59" s="7" t="s">
        <v>130</v>
      </c>
      <c r="L59" s="6"/>
      <c r="M59" s="7"/>
      <c r="N59" s="6"/>
      <c r="O59" s="6"/>
      <c r="P59" s="6"/>
      <c r="Q59" s="6"/>
      <c r="R59" s="6"/>
      <c r="S59" s="6"/>
      <c r="T59" s="6"/>
      <c r="U59" s="6"/>
      <c r="V59" s="6"/>
      <c r="W59" s="6"/>
      <c r="X59" s="6"/>
      <c r="Y59" s="6"/>
      <c r="Z59" s="6"/>
    </row>
    <row r="60" spans="1:26" s="4" customFormat="1" ht="147.75" customHeight="1" x14ac:dyDescent="0.25">
      <c r="A60" s="6" t="s">
        <v>319</v>
      </c>
      <c r="B60" s="89" t="s">
        <v>334</v>
      </c>
      <c r="C60" s="7" t="s">
        <v>184</v>
      </c>
      <c r="D60" s="7">
        <v>16</v>
      </c>
      <c r="E60" s="6" t="s">
        <v>273</v>
      </c>
      <c r="F60" s="7" t="s">
        <v>241</v>
      </c>
      <c r="G60" s="7" t="s">
        <v>219</v>
      </c>
      <c r="H60" s="7" t="s">
        <v>425</v>
      </c>
      <c r="I60" s="7" t="s">
        <v>221</v>
      </c>
      <c r="J60" s="7"/>
      <c r="K60" s="7" t="s">
        <v>130</v>
      </c>
      <c r="L60" s="6"/>
      <c r="M60" s="7"/>
      <c r="N60" s="6"/>
      <c r="O60" s="6"/>
      <c r="P60" s="6"/>
      <c r="Q60" s="6"/>
      <c r="R60" s="6"/>
      <c r="S60" s="6"/>
      <c r="T60" s="6"/>
      <c r="U60" s="6"/>
      <c r="V60" s="6"/>
      <c r="W60" s="6"/>
      <c r="X60" s="6"/>
      <c r="Y60" s="6"/>
      <c r="Z60" s="6"/>
    </row>
    <row r="61" spans="1:26" s="4" customFormat="1" ht="147.75" customHeight="1" x14ac:dyDescent="0.25">
      <c r="A61" s="6" t="s">
        <v>319</v>
      </c>
      <c r="B61" s="89" t="s">
        <v>334</v>
      </c>
      <c r="C61" s="7" t="s">
        <v>184</v>
      </c>
      <c r="D61" s="7">
        <v>36</v>
      </c>
      <c r="E61" s="6" t="s">
        <v>279</v>
      </c>
      <c r="F61" s="7" t="s">
        <v>241</v>
      </c>
      <c r="G61" s="7" t="s">
        <v>219</v>
      </c>
      <c r="H61" s="7" t="s">
        <v>305</v>
      </c>
      <c r="I61" s="7"/>
      <c r="J61" s="7"/>
      <c r="K61" s="7" t="s">
        <v>123</v>
      </c>
      <c r="L61" s="6"/>
      <c r="M61" s="7"/>
      <c r="N61" s="6"/>
      <c r="O61" s="6"/>
      <c r="P61" s="6"/>
      <c r="Q61" s="6"/>
      <c r="R61" s="6"/>
      <c r="S61" s="6"/>
      <c r="T61" s="6"/>
      <c r="U61" s="6"/>
      <c r="V61" s="6"/>
      <c r="W61" s="6"/>
      <c r="X61" s="6"/>
      <c r="Y61" s="6"/>
      <c r="Z61" s="6"/>
    </row>
    <row r="62" spans="1:26" s="4" customFormat="1" ht="147.75" customHeight="1" x14ac:dyDescent="0.25">
      <c r="A62" s="6" t="s">
        <v>319</v>
      </c>
      <c r="B62" s="89" t="s">
        <v>334</v>
      </c>
      <c r="C62" s="7" t="s">
        <v>184</v>
      </c>
      <c r="D62" s="7">
        <v>3</v>
      </c>
      <c r="E62" s="6" t="s">
        <v>279</v>
      </c>
      <c r="F62" s="7" t="s">
        <v>241</v>
      </c>
      <c r="G62" s="7" t="s">
        <v>219</v>
      </c>
      <c r="H62" s="7"/>
      <c r="I62" s="7"/>
      <c r="J62" s="7"/>
      <c r="K62" s="7" t="s">
        <v>123</v>
      </c>
      <c r="L62" s="6" t="s">
        <v>335</v>
      </c>
      <c r="M62" s="7"/>
      <c r="N62" s="6"/>
      <c r="O62" s="6"/>
      <c r="P62" s="6"/>
      <c r="Q62" s="6"/>
      <c r="R62" s="6"/>
      <c r="S62" s="6"/>
      <c r="T62" s="6"/>
      <c r="U62" s="6"/>
      <c r="V62" s="6"/>
      <c r="W62" s="6"/>
      <c r="X62" s="6"/>
      <c r="Y62" s="6"/>
      <c r="Z62" s="6"/>
    </row>
    <row r="63" spans="1:26" s="4" customFormat="1" ht="147.75" customHeight="1" x14ac:dyDescent="0.25">
      <c r="A63" s="6" t="s">
        <v>319</v>
      </c>
      <c r="B63" s="89" t="s">
        <v>334</v>
      </c>
      <c r="C63" s="7" t="s">
        <v>184</v>
      </c>
      <c r="D63" s="7">
        <v>21</v>
      </c>
      <c r="E63" s="6" t="s">
        <v>273</v>
      </c>
      <c r="F63" s="7" t="s">
        <v>241</v>
      </c>
      <c r="G63" s="7" t="s">
        <v>219</v>
      </c>
      <c r="H63" s="7" t="s">
        <v>425</v>
      </c>
      <c r="I63" s="7" t="s">
        <v>221</v>
      </c>
      <c r="J63" s="7"/>
      <c r="K63" s="7" t="s">
        <v>130</v>
      </c>
      <c r="L63" s="6" t="s">
        <v>336</v>
      </c>
      <c r="M63" s="7"/>
      <c r="N63" s="6"/>
      <c r="O63" s="6"/>
      <c r="P63" s="6"/>
      <c r="Q63" s="6"/>
      <c r="R63" s="6"/>
      <c r="S63" s="6"/>
      <c r="T63" s="6"/>
      <c r="U63" s="6"/>
      <c r="V63" s="6"/>
      <c r="W63" s="6"/>
      <c r="X63" s="6"/>
      <c r="Y63" s="6"/>
      <c r="Z63" s="6"/>
    </row>
    <row r="64" spans="1:26" s="4" customFormat="1" ht="147.75" customHeight="1" x14ac:dyDescent="0.25">
      <c r="A64" s="6" t="s">
        <v>319</v>
      </c>
      <c r="B64" s="89" t="s">
        <v>334</v>
      </c>
      <c r="C64" s="7" t="s">
        <v>184</v>
      </c>
      <c r="D64" s="7">
        <v>14</v>
      </c>
      <c r="E64" s="6" t="s">
        <v>337</v>
      </c>
      <c r="F64" s="7" t="s">
        <v>185</v>
      </c>
      <c r="G64" s="7" t="s">
        <v>219</v>
      </c>
      <c r="H64" s="7" t="s">
        <v>425</v>
      </c>
      <c r="I64" s="7" t="s">
        <v>338</v>
      </c>
      <c r="J64" s="7"/>
      <c r="K64" s="7" t="s">
        <v>130</v>
      </c>
      <c r="L64" s="6" t="s">
        <v>339</v>
      </c>
      <c r="M64" s="7"/>
      <c r="N64" s="6"/>
      <c r="O64" s="6"/>
      <c r="P64" s="6"/>
      <c r="Q64" s="6"/>
      <c r="R64" s="6"/>
      <c r="S64" s="6"/>
      <c r="T64" s="6"/>
      <c r="U64" s="6"/>
      <c r="V64" s="6"/>
      <c r="W64" s="6"/>
      <c r="X64" s="6"/>
      <c r="Y64" s="6"/>
      <c r="Z64" s="6"/>
    </row>
    <row r="66" spans="4:4" x14ac:dyDescent="0.25">
      <c r="D66" s="5">
        <f>SUM(D15:D64)</f>
        <v>332</v>
      </c>
    </row>
  </sheetData>
  <mergeCells count="35">
    <mergeCell ref="C17:C18"/>
    <mergeCell ref="B17:B18"/>
    <mergeCell ref="A17:A18"/>
    <mergeCell ref="Z17:Z18"/>
    <mergeCell ref="Y17:Y18"/>
    <mergeCell ref="X17:X18"/>
    <mergeCell ref="W17:W18"/>
    <mergeCell ref="V17:V18"/>
    <mergeCell ref="U17:U18"/>
    <mergeCell ref="T17:T18"/>
    <mergeCell ref="S17:S18"/>
    <mergeCell ref="R17:R18"/>
    <mergeCell ref="N17:N18"/>
    <mergeCell ref="M17:M18"/>
    <mergeCell ref="H17:H18"/>
    <mergeCell ref="G17:G18"/>
    <mergeCell ref="F17:F18"/>
    <mergeCell ref="E17:E18"/>
    <mergeCell ref="D17:D18"/>
    <mergeCell ref="L17:L18"/>
    <mergeCell ref="K17:K18"/>
    <mergeCell ref="I17:I18"/>
    <mergeCell ref="C15:C16"/>
    <mergeCell ref="B15:B16"/>
    <mergeCell ref="A15:A16"/>
    <mergeCell ref="H15:H16"/>
    <mergeCell ref="G15:G16"/>
    <mergeCell ref="F15:F16"/>
    <mergeCell ref="E15:E16"/>
    <mergeCell ref="D15:D16"/>
    <mergeCell ref="Z7:Z9"/>
    <mergeCell ref="L15:L16"/>
    <mergeCell ref="K15:K16"/>
    <mergeCell ref="I15:I16"/>
    <mergeCell ref="N15:N16"/>
  </mergeCells>
  <phoneticPr fontId="3" type="noConversion"/>
  <hyperlinks>
    <hyperlink ref="Z15" r:id="rId1" xr:uid="{A33A05D6-9C24-4A4A-9585-F78D65863D64}"/>
    <hyperlink ref="Z20" r:id="rId2" xr:uid="{94A90AB5-95EF-4F6C-9273-BE7F9F9E0DE7}"/>
    <hyperlink ref="Z22" r:id="rId3" xr:uid="{01C71FA0-7583-4374-B8FE-C3EAB5A64935}"/>
    <hyperlink ref="Z24" r:id="rId4" xr:uid="{6FD5E1D2-66BC-43E6-99BB-349F58C8F364}"/>
  </hyperlinks>
  <pageMargins left="0.70866141732283472" right="0.70866141732283472" top="0.74803149606299213" bottom="0.74803149606299213" header="0.31496062992125984" footer="0.31496062992125984"/>
  <pageSetup paperSize="8" scale="77" fitToHeight="0" orientation="landscape" r:id="rId5"/>
  <headerFooter>
    <oddFooter>&amp;LBuro Happold&amp;CLighting Technical Due Diligence Report - Appendix A&amp;R&amp;P/ 25</oddFooter>
  </headerFooter>
  <drawing r:id="rId6"/>
  <extLst>
    <ext xmlns:x14="http://schemas.microsoft.com/office/spreadsheetml/2009/9/main" uri="{78C0D931-6437-407d-A8EE-F0AAD7539E65}">
      <x14:conditionalFormattings>
        <x14:conditionalFormatting xmlns:xm="http://schemas.microsoft.com/office/excel/2006/main">
          <x14:cfRule type="cellIs" priority="1" operator="equal" id="{B211DE51-5417-4172-8AD7-E68ACAFB0FAD}">
            <xm:f>DropDown!$F$2</xm:f>
            <x14:dxf>
              <fill>
                <patternFill>
                  <bgColor theme="9" tint="0.79998168889431442"/>
                </patternFill>
              </fill>
            </x14:dxf>
          </x14:cfRule>
          <x14:cfRule type="cellIs" priority="2" operator="equal" id="{4D51BF90-FB7E-44D6-9471-B66C40AD0DAC}">
            <xm:f>DropDown!$F$6</xm:f>
            <x14:dxf>
              <fill>
                <patternFill>
                  <bgColor rgb="FFFF6D6D"/>
                </patternFill>
              </fill>
            </x14:dxf>
          </x14:cfRule>
          <x14:cfRule type="cellIs" priority="3" operator="equal" id="{9CD37BAA-8CA2-4791-A63C-6A71154B756E}">
            <xm:f>DropDown!$F$4</xm:f>
            <x14:dxf>
              <fill>
                <patternFill>
                  <bgColor rgb="FFFFFFB9"/>
                </patternFill>
              </fill>
            </x14:dxf>
          </x14:cfRule>
          <x14:cfRule type="cellIs" priority="4" operator="equal" id="{13960C84-F287-42A2-AB25-96CA7FCC36F7}">
            <xm:f>DropDown!$F$5</xm:f>
            <x14:dxf>
              <fill>
                <patternFill>
                  <bgColor theme="5" tint="0.39994506668294322"/>
                </patternFill>
              </fill>
            </x14:dxf>
          </x14:cfRule>
          <x14:cfRule type="cellIs" priority="5" operator="equal" id="{F9424ECF-AEF6-4E3C-B623-417C6C581939}">
            <xm:f>DropDown!$F$3</xm:f>
            <x14:dxf>
              <font>
                <b val="0"/>
                <i val="0"/>
              </font>
              <fill>
                <patternFill patternType="solid">
                  <bgColor rgb="FF00EA6A"/>
                </patternFill>
              </fill>
            </x14:dxf>
          </x14:cfRule>
          <xm:sqref>K15 K17 K19:K64</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xr:uid="{C35472F5-B0CA-4CB8-ACFB-8EAA75D5A1FB}">
          <x14:formula1>
            <xm:f>DropDown!$A$2:$A$5</xm:f>
          </x14:formula1>
          <xm:sqref>C15 C17 C19:C64</xm:sqref>
        </x14:dataValidation>
        <x14:dataValidation type="list" allowBlank="1" showInputMessage="1" showErrorMessage="1" xr:uid="{01F965A2-8B60-4C70-95AF-5746490E84B1}">
          <x14:formula1>
            <xm:f>DropDown!$B$2:$B$7</xm:f>
          </x14:formula1>
          <xm:sqref>F15 F17 F19:F64</xm:sqref>
        </x14:dataValidation>
        <x14:dataValidation type="list" allowBlank="1" showInputMessage="1" showErrorMessage="1" xr:uid="{4E592A66-4B6D-44BD-B4A2-D6373B16D6F1}">
          <x14:formula1>
            <xm:f>DropDown!$C$2:$C$5</xm:f>
          </x14:formula1>
          <xm:sqref>G15 G17 G19:G64</xm:sqref>
        </x14:dataValidation>
        <x14:dataValidation type="list" allowBlank="1" showInputMessage="1" showErrorMessage="1" xr:uid="{D750A089-DB58-4217-80EB-DB6811A94AA6}">
          <x14:formula1>
            <xm:f>DropDown!$E$2:$E$5</xm:f>
          </x14:formula1>
          <xm:sqref>J15:J64</xm:sqref>
        </x14:dataValidation>
        <x14:dataValidation type="list" allowBlank="1" showInputMessage="1" showErrorMessage="1" xr:uid="{5FB0A829-E639-4253-BD89-9F4A349A77DA}">
          <x14:formula1>
            <xm:f>DropDown!$F$2:$F$6</xm:f>
          </x14:formula1>
          <xm:sqref>K15 K17 K19:K64</xm:sqref>
        </x14:dataValidation>
        <x14:dataValidation type="list" allowBlank="1" showInputMessage="1" showErrorMessage="1" xr:uid="{D174D3CF-7257-4837-AA27-9C8E1CC22DEA}">
          <x14:formula1>
            <xm:f>DropDown!$D$2:$D$14</xm:f>
          </x14:formula1>
          <xm:sqref>I15 I17 I19:I64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3482f1f-7496-40cf-972d-c608e1d3f2c4" xsi:nil="true"/>
    <lcf76f155ced4ddcb4097134ff3c332f xmlns="14bad2f9-73c5-45ca-b6c9-1793f21f840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8148BD15EC78469E8949C45CF574D7" ma:contentTypeVersion="11" ma:contentTypeDescription="Create a new document." ma:contentTypeScope="" ma:versionID="b29a6d6edc49c6c76ee1487063d2df61">
  <xsd:schema xmlns:xsd="http://www.w3.org/2001/XMLSchema" xmlns:xs="http://www.w3.org/2001/XMLSchema" xmlns:p="http://schemas.microsoft.com/office/2006/metadata/properties" xmlns:ns2="14bad2f9-73c5-45ca-b6c9-1793f21f840e" xmlns:ns3="53482f1f-7496-40cf-972d-c608e1d3f2c4" targetNamespace="http://schemas.microsoft.com/office/2006/metadata/properties" ma:root="true" ma:fieldsID="5e6f1214c9ba9a17d032e919a4616d08" ns2:_="" ns3:_="">
    <xsd:import namespace="14bad2f9-73c5-45ca-b6c9-1793f21f840e"/>
    <xsd:import namespace="53482f1f-7496-40cf-972d-c608e1d3f2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bad2f9-73c5-45ca-b6c9-1793f21f84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3fa978b-cdad-45a5-877c-f631a0e6dfe9"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3482f1f-7496-40cf-972d-c608e1d3f2c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0336c2f-304a-42f9-90d1-b2ed804a96e3}" ma:internalName="TaxCatchAll" ma:showField="CatchAllData" ma:web="53482f1f-7496-40cf-972d-c608e1d3f2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EB0A12-BB12-42A8-9047-0814513A3A98}">
  <ds:schemaRefs>
    <ds:schemaRef ds:uri="http://schemas.microsoft.com/office/2006/metadata/properties"/>
    <ds:schemaRef ds:uri="http://schemas.microsoft.com/office/infopath/2007/PartnerControls"/>
    <ds:schemaRef ds:uri="53482f1f-7496-40cf-972d-c608e1d3f2c4"/>
    <ds:schemaRef ds:uri="14bad2f9-73c5-45ca-b6c9-1793f21f840e"/>
  </ds:schemaRefs>
</ds:datastoreItem>
</file>

<file path=customXml/itemProps2.xml><?xml version="1.0" encoding="utf-8"?>
<ds:datastoreItem xmlns:ds="http://schemas.openxmlformats.org/officeDocument/2006/customXml" ds:itemID="{BD7B88EA-BAD2-468E-B66D-A9CEFE7DB96E}">
  <ds:schemaRefs>
    <ds:schemaRef ds:uri="http://schemas.microsoft.com/sharepoint/v3/contenttype/forms"/>
  </ds:schemaRefs>
</ds:datastoreItem>
</file>

<file path=customXml/itemProps3.xml><?xml version="1.0" encoding="utf-8"?>
<ds:datastoreItem xmlns:ds="http://schemas.openxmlformats.org/officeDocument/2006/customXml" ds:itemID="{5797A20B-EE99-48EC-8919-6EEE8B86B4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bad2f9-73c5-45ca-b6c9-1793f21f840e"/>
    <ds:schemaRef ds:uri="53482f1f-7496-40cf-972d-c608e1d3f2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GenInfo+Contacts</vt:lpstr>
      <vt:lpstr>Contacts_Log</vt:lpstr>
      <vt:lpstr>Decision Matrix v.02</vt:lpstr>
      <vt:lpstr>Glossary</vt:lpstr>
      <vt:lpstr>DropDown</vt:lpstr>
      <vt:lpstr>Decision Matrix v.01 (original)</vt:lpstr>
      <vt:lpstr>'Decision Matrix v.01 (original)'!Print_Titles</vt:lpstr>
      <vt:lpstr>'Decision Matrix v.02'!Print_Titles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Isabelle Blase</dc:creator>
  <cp:keywords/>
  <dc:description/>
  <cp:lastModifiedBy>Isabelle Blase</cp:lastModifiedBy>
  <cp:revision/>
  <cp:lastPrinted>2025-09-05T09:49:40Z</cp:lastPrinted>
  <dcterms:created xsi:type="dcterms:W3CDTF">2025-06-10T13:08:24Z</dcterms:created>
  <dcterms:modified xsi:type="dcterms:W3CDTF">2025-09-05T10:21:07Z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0x010100398148BD15EC78469E8949C45CF574D7</vt:lpwstr>
  </property>
  <property fmtid="{D5CDD505-2E9C-101B-9397-08002B2CF9AE}" pid="3" name="MediaServiceImageTags">
    <vt:lpwstr/>
  </property>
  <property fmtid="{D5CDD505-2E9C-101B-9397-08002B2CF9AE}" pid="4" name="Order">
    <vt:r8>35617500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BHoM_Guid">
    <vt:lpwstr>def1ee5c-aeb2-4505-b3a6-5c7e03f07e04</vt:lpwstr>
  </property>
</Properties>
</file>